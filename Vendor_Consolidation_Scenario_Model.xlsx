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779d5fefda623ae/Desktop/Portfolio Work/"/>
    </mc:Choice>
  </mc:AlternateContent>
  <xr:revisionPtr revIDLastSave="0" documentId="8_{9B856A3F-97E0-4A9E-AC3D-C58BA16702E3}" xr6:coauthVersionLast="47" xr6:coauthVersionMax="47" xr10:uidLastSave="{00000000-0000-0000-0000-000000000000}"/>
  <bookViews>
    <workbookView xWindow="-120" yWindow="-120" windowWidth="20730" windowHeight="11040" tabRatio="896" xr2:uid="{00000000-000D-0000-FFFF-FFFF00000000}"/>
  </bookViews>
  <sheets>
    <sheet name="Methodology" sheetId="1" r:id="rId1"/>
    <sheet name="Executive Dashboard" sheetId="2" r:id="rId2"/>
    <sheet name="Variance Analysis - Finance" sheetId="3" r:id="rId3"/>
    <sheet name="Variance Analysis - Risk" sheetId="4" r:id="rId4"/>
    <sheet name="Variance Analysis - Ops" sheetId="5" r:id="rId5"/>
    <sheet name="Consolidation Scenarios" sheetId="6" r:id="rId6"/>
    <sheet name="Sensitivity Model"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3" i="7" l="1"/>
  <c r="G13" i="7"/>
  <c r="F13" i="7"/>
  <c r="E13" i="7"/>
  <c r="D13" i="7"/>
  <c r="C13" i="7"/>
  <c r="B13" i="7"/>
  <c r="H12" i="7"/>
  <c r="G12" i="7"/>
  <c r="F12" i="7"/>
  <c r="E12" i="7"/>
  <c r="D12" i="7"/>
  <c r="C12" i="7"/>
  <c r="B12" i="7"/>
  <c r="H11" i="7"/>
  <c r="G11" i="7"/>
  <c r="F11" i="7"/>
  <c r="E11" i="7"/>
  <c r="D11" i="7"/>
  <c r="C11" i="7"/>
  <c r="B11" i="7"/>
  <c r="H10" i="7"/>
  <c r="G10" i="7"/>
  <c r="F10" i="7"/>
  <c r="E10" i="7"/>
  <c r="D10" i="7"/>
  <c r="C10" i="7"/>
  <c r="B10" i="7"/>
  <c r="H9" i="7"/>
  <c r="G9" i="7"/>
  <c r="F9" i="7"/>
  <c r="E9" i="7"/>
  <c r="D9" i="7"/>
  <c r="C9" i="7"/>
  <c r="B9" i="7"/>
  <c r="H8" i="7"/>
  <c r="G8" i="7"/>
  <c r="F8" i="7"/>
  <c r="E8" i="7"/>
  <c r="D8" i="7"/>
  <c r="C8" i="7"/>
  <c r="B8" i="7"/>
  <c r="H7" i="7"/>
  <c r="G7" i="7"/>
  <c r="F7" i="7"/>
  <c r="E7" i="7"/>
  <c r="D7" i="7"/>
  <c r="C7" i="7"/>
  <c r="B7" i="7"/>
  <c r="D38" i="6"/>
  <c r="B38" i="6"/>
  <c r="D33" i="6"/>
  <c r="D41" i="6" s="1"/>
  <c r="B33" i="6"/>
  <c r="D32" i="6"/>
  <c r="C32" i="6"/>
  <c r="B32" i="6"/>
  <c r="C26" i="6"/>
  <c r="C38" i="6" s="1"/>
  <c r="C25" i="6"/>
  <c r="C24" i="6"/>
  <c r="C23" i="6"/>
  <c r="D19" i="6"/>
  <c r="D36" i="6" s="1"/>
  <c r="B19" i="6"/>
  <c r="B36" i="6" s="1"/>
  <c r="D17" i="6"/>
  <c r="D34" i="6" s="1"/>
  <c r="D37" i="6" s="1"/>
  <c r="B17" i="6"/>
  <c r="B34" i="6" s="1"/>
  <c r="D16" i="6"/>
  <c r="D18" i="6" s="1"/>
  <c r="D35" i="6" s="1"/>
  <c r="C16" i="6"/>
  <c r="B16" i="6"/>
  <c r="B18" i="6" s="1"/>
  <c r="B35" i="6" s="1"/>
  <c r="D36" i="5"/>
  <c r="J27" i="5"/>
  <c r="J35" i="5" s="1"/>
  <c r="F27" i="5"/>
  <c r="F35" i="5" s="1"/>
  <c r="B27" i="5"/>
  <c r="B35" i="5" s="1"/>
  <c r="K26" i="5"/>
  <c r="K34" i="5" s="1"/>
  <c r="G26" i="5"/>
  <c r="G34" i="5" s="1"/>
  <c r="F26" i="5"/>
  <c r="F34" i="5" s="1"/>
  <c r="C26" i="5"/>
  <c r="C34" i="5" s="1"/>
  <c r="M25" i="5"/>
  <c r="M33" i="5" s="1"/>
  <c r="L25" i="5"/>
  <c r="L33" i="5" s="1"/>
  <c r="H25" i="5"/>
  <c r="H33" i="5" s="1"/>
  <c r="D25" i="5"/>
  <c r="D33" i="5" s="1"/>
  <c r="M24" i="5"/>
  <c r="M32" i="5" s="1"/>
  <c r="J24" i="5"/>
  <c r="J32" i="5" s="1"/>
  <c r="I24" i="5"/>
  <c r="I32" i="5" s="1"/>
  <c r="E24" i="5"/>
  <c r="E32" i="5" s="1"/>
  <c r="K23" i="5"/>
  <c r="K31" i="5" s="1"/>
  <c r="J23" i="5"/>
  <c r="J31" i="5" s="1"/>
  <c r="F23" i="5"/>
  <c r="F31" i="5" s="1"/>
  <c r="B23" i="5"/>
  <c r="B31" i="5" s="1"/>
  <c r="M20" i="5"/>
  <c r="M28" i="5" s="1"/>
  <c r="M36" i="5" s="1"/>
  <c r="L20" i="5"/>
  <c r="L28" i="5" s="1"/>
  <c r="L36" i="5" s="1"/>
  <c r="K20" i="5"/>
  <c r="K28" i="5" s="1"/>
  <c r="K36" i="5" s="1"/>
  <c r="J20" i="5"/>
  <c r="J28" i="5" s="1"/>
  <c r="J36" i="5" s="1"/>
  <c r="I20" i="5"/>
  <c r="I28" i="5" s="1"/>
  <c r="I36" i="5" s="1"/>
  <c r="H20" i="5"/>
  <c r="H28" i="5" s="1"/>
  <c r="H36" i="5" s="1"/>
  <c r="G20" i="5"/>
  <c r="G28" i="5" s="1"/>
  <c r="G36" i="5" s="1"/>
  <c r="F20" i="5"/>
  <c r="F28" i="5" s="1"/>
  <c r="F36" i="5" s="1"/>
  <c r="E20" i="5"/>
  <c r="E28" i="5" s="1"/>
  <c r="E36" i="5" s="1"/>
  <c r="D20" i="5"/>
  <c r="D28" i="5" s="1"/>
  <c r="C20" i="5"/>
  <c r="C28" i="5" s="1"/>
  <c r="C36" i="5" s="1"/>
  <c r="B20" i="5"/>
  <c r="B28" i="5" s="1"/>
  <c r="M19" i="5"/>
  <c r="M27" i="5" s="1"/>
  <c r="M35" i="5" s="1"/>
  <c r="L19" i="5"/>
  <c r="L27" i="5" s="1"/>
  <c r="L35" i="5" s="1"/>
  <c r="K19" i="5"/>
  <c r="K27" i="5" s="1"/>
  <c r="K35" i="5" s="1"/>
  <c r="J19" i="5"/>
  <c r="I19" i="5"/>
  <c r="I27" i="5" s="1"/>
  <c r="I35" i="5" s="1"/>
  <c r="H19" i="5"/>
  <c r="H27" i="5" s="1"/>
  <c r="H35" i="5" s="1"/>
  <c r="G19" i="5"/>
  <c r="G27" i="5" s="1"/>
  <c r="G35" i="5" s="1"/>
  <c r="F19" i="5"/>
  <c r="E19" i="5"/>
  <c r="E27" i="5" s="1"/>
  <c r="E35" i="5" s="1"/>
  <c r="D19" i="5"/>
  <c r="D27" i="5" s="1"/>
  <c r="D35" i="5" s="1"/>
  <c r="C19" i="5"/>
  <c r="C27" i="5" s="1"/>
  <c r="C35" i="5" s="1"/>
  <c r="B19" i="5"/>
  <c r="N19" i="5" s="1"/>
  <c r="M18" i="5"/>
  <c r="M26" i="5" s="1"/>
  <c r="M34" i="5" s="1"/>
  <c r="L18" i="5"/>
  <c r="L26" i="5" s="1"/>
  <c r="L34" i="5" s="1"/>
  <c r="K18" i="5"/>
  <c r="J18" i="5"/>
  <c r="J26" i="5" s="1"/>
  <c r="J34" i="5" s="1"/>
  <c r="I18" i="5"/>
  <c r="I26" i="5" s="1"/>
  <c r="I34" i="5" s="1"/>
  <c r="H18" i="5"/>
  <c r="H26" i="5" s="1"/>
  <c r="H34" i="5" s="1"/>
  <c r="G18" i="5"/>
  <c r="F18" i="5"/>
  <c r="E18" i="5"/>
  <c r="E26" i="5" s="1"/>
  <c r="E34" i="5" s="1"/>
  <c r="D18" i="5"/>
  <c r="D26" i="5" s="1"/>
  <c r="D34" i="5" s="1"/>
  <c r="C18" i="5"/>
  <c r="B18" i="5"/>
  <c r="N18" i="5" s="1"/>
  <c r="M17" i="5"/>
  <c r="L17" i="5"/>
  <c r="K17" i="5"/>
  <c r="K25" i="5" s="1"/>
  <c r="K33" i="5" s="1"/>
  <c r="J17" i="5"/>
  <c r="J25" i="5" s="1"/>
  <c r="J33" i="5" s="1"/>
  <c r="I17" i="5"/>
  <c r="I25" i="5" s="1"/>
  <c r="I33" i="5" s="1"/>
  <c r="H17" i="5"/>
  <c r="G17" i="5"/>
  <c r="G25" i="5" s="1"/>
  <c r="G33" i="5" s="1"/>
  <c r="F17" i="5"/>
  <c r="F25" i="5" s="1"/>
  <c r="F33" i="5" s="1"/>
  <c r="E17" i="5"/>
  <c r="E25" i="5" s="1"/>
  <c r="E33" i="5" s="1"/>
  <c r="D17" i="5"/>
  <c r="C17" i="5"/>
  <c r="C25" i="5" s="1"/>
  <c r="C33" i="5" s="1"/>
  <c r="B17" i="5"/>
  <c r="B25" i="5" s="1"/>
  <c r="M16" i="5"/>
  <c r="L16" i="5"/>
  <c r="L24" i="5" s="1"/>
  <c r="L32" i="5" s="1"/>
  <c r="K16" i="5"/>
  <c r="K24" i="5" s="1"/>
  <c r="K32" i="5" s="1"/>
  <c r="J16" i="5"/>
  <c r="I16" i="5"/>
  <c r="H16" i="5"/>
  <c r="H24" i="5" s="1"/>
  <c r="H32" i="5" s="1"/>
  <c r="G16" i="5"/>
  <c r="G24" i="5" s="1"/>
  <c r="G32" i="5" s="1"/>
  <c r="F16" i="5"/>
  <c r="F24" i="5" s="1"/>
  <c r="F32" i="5" s="1"/>
  <c r="E16" i="5"/>
  <c r="D16" i="5"/>
  <c r="D24" i="5" s="1"/>
  <c r="D32" i="5" s="1"/>
  <c r="C16" i="5"/>
  <c r="C24" i="5" s="1"/>
  <c r="C32" i="5" s="1"/>
  <c r="B16" i="5"/>
  <c r="B24" i="5" s="1"/>
  <c r="M15" i="5"/>
  <c r="M23" i="5" s="1"/>
  <c r="M31" i="5" s="1"/>
  <c r="L15" i="5"/>
  <c r="L23" i="5" s="1"/>
  <c r="L31" i="5" s="1"/>
  <c r="K15" i="5"/>
  <c r="J15" i="5"/>
  <c r="I15" i="5"/>
  <c r="I23" i="5" s="1"/>
  <c r="I31" i="5" s="1"/>
  <c r="H15" i="5"/>
  <c r="H23" i="5" s="1"/>
  <c r="H31" i="5" s="1"/>
  <c r="G15" i="5"/>
  <c r="G23" i="5" s="1"/>
  <c r="G31" i="5" s="1"/>
  <c r="F15" i="5"/>
  <c r="E15" i="5"/>
  <c r="E23" i="5" s="1"/>
  <c r="E31" i="5" s="1"/>
  <c r="D15" i="5"/>
  <c r="D23" i="5" s="1"/>
  <c r="D31" i="5" s="1"/>
  <c r="C15" i="5"/>
  <c r="C23" i="5" s="1"/>
  <c r="C31" i="5" s="1"/>
  <c r="B15" i="5"/>
  <c r="N12" i="5"/>
  <c r="N11" i="5"/>
  <c r="N10" i="5"/>
  <c r="N9" i="5"/>
  <c r="N8" i="5"/>
  <c r="N7" i="5"/>
  <c r="M35" i="4"/>
  <c r="E35" i="4"/>
  <c r="F28" i="4"/>
  <c r="F36" i="4" s="1"/>
  <c r="K27" i="4"/>
  <c r="K35" i="4" s="1"/>
  <c r="C27" i="4"/>
  <c r="C35" i="4" s="1"/>
  <c r="H26" i="4"/>
  <c r="H34" i="4" s="1"/>
  <c r="M25" i="4"/>
  <c r="M33" i="4" s="1"/>
  <c r="E25" i="4"/>
  <c r="E33" i="4" s="1"/>
  <c r="J24" i="4"/>
  <c r="J32" i="4" s="1"/>
  <c r="B24" i="4"/>
  <c r="C23" i="4"/>
  <c r="C31" i="4" s="1"/>
  <c r="M20" i="4"/>
  <c r="M28" i="4" s="1"/>
  <c r="M36" i="4" s="1"/>
  <c r="L20" i="4"/>
  <c r="L28" i="4" s="1"/>
  <c r="L36" i="4" s="1"/>
  <c r="K20" i="4"/>
  <c r="K28" i="4" s="1"/>
  <c r="K36" i="4" s="1"/>
  <c r="J20" i="4"/>
  <c r="J28" i="4" s="1"/>
  <c r="J36" i="4" s="1"/>
  <c r="I20" i="4"/>
  <c r="I28" i="4" s="1"/>
  <c r="I36" i="4" s="1"/>
  <c r="H20" i="4"/>
  <c r="H28" i="4" s="1"/>
  <c r="H36" i="4" s="1"/>
  <c r="G20" i="4"/>
  <c r="G28" i="4" s="1"/>
  <c r="G36" i="4" s="1"/>
  <c r="F20" i="4"/>
  <c r="E20" i="4"/>
  <c r="E28" i="4" s="1"/>
  <c r="E36" i="4" s="1"/>
  <c r="D20" i="4"/>
  <c r="D28" i="4" s="1"/>
  <c r="D36" i="4" s="1"/>
  <c r="C20" i="4"/>
  <c r="C28" i="4" s="1"/>
  <c r="C36" i="4" s="1"/>
  <c r="B20" i="4"/>
  <c r="M19" i="4"/>
  <c r="M27" i="4" s="1"/>
  <c r="L19" i="4"/>
  <c r="L27" i="4" s="1"/>
  <c r="L35" i="4" s="1"/>
  <c r="K19" i="4"/>
  <c r="J19" i="4"/>
  <c r="J27" i="4" s="1"/>
  <c r="J35" i="4" s="1"/>
  <c r="I19" i="4"/>
  <c r="I27" i="4" s="1"/>
  <c r="I35" i="4" s="1"/>
  <c r="H19" i="4"/>
  <c r="H27" i="4" s="1"/>
  <c r="H35" i="4" s="1"/>
  <c r="G19" i="4"/>
  <c r="G27" i="4" s="1"/>
  <c r="G35" i="4" s="1"/>
  <c r="F19" i="4"/>
  <c r="F27" i="4" s="1"/>
  <c r="F35" i="4" s="1"/>
  <c r="E19" i="4"/>
  <c r="E27" i="4" s="1"/>
  <c r="D19" i="4"/>
  <c r="D27" i="4" s="1"/>
  <c r="D35" i="4" s="1"/>
  <c r="C19" i="4"/>
  <c r="B19" i="4"/>
  <c r="B27" i="4" s="1"/>
  <c r="M18" i="4"/>
  <c r="M26" i="4" s="1"/>
  <c r="M34" i="4" s="1"/>
  <c r="L18" i="4"/>
  <c r="L26" i="4" s="1"/>
  <c r="L34" i="4" s="1"/>
  <c r="K18" i="4"/>
  <c r="K26" i="4" s="1"/>
  <c r="K34" i="4" s="1"/>
  <c r="J18" i="4"/>
  <c r="J26" i="4" s="1"/>
  <c r="J34" i="4" s="1"/>
  <c r="I18" i="4"/>
  <c r="I26" i="4" s="1"/>
  <c r="I34" i="4" s="1"/>
  <c r="H18" i="4"/>
  <c r="G18" i="4"/>
  <c r="G26" i="4" s="1"/>
  <c r="G34" i="4" s="1"/>
  <c r="F18" i="4"/>
  <c r="F26" i="4" s="1"/>
  <c r="F34" i="4" s="1"/>
  <c r="E18" i="4"/>
  <c r="E26" i="4" s="1"/>
  <c r="E34" i="4" s="1"/>
  <c r="D18" i="4"/>
  <c r="D26" i="4" s="1"/>
  <c r="D34" i="4" s="1"/>
  <c r="C18" i="4"/>
  <c r="C26" i="4" s="1"/>
  <c r="C34" i="4" s="1"/>
  <c r="B18" i="4"/>
  <c r="B26" i="4" s="1"/>
  <c r="B34" i="4" s="1"/>
  <c r="M17" i="4"/>
  <c r="L17" i="4"/>
  <c r="L25" i="4" s="1"/>
  <c r="L33" i="4" s="1"/>
  <c r="K17" i="4"/>
  <c r="K25" i="4" s="1"/>
  <c r="K33" i="4" s="1"/>
  <c r="J17" i="4"/>
  <c r="J25" i="4" s="1"/>
  <c r="J33" i="4" s="1"/>
  <c r="I17" i="4"/>
  <c r="I25" i="4" s="1"/>
  <c r="I33" i="4" s="1"/>
  <c r="H17" i="4"/>
  <c r="H25" i="4" s="1"/>
  <c r="H33" i="4" s="1"/>
  <c r="G17" i="4"/>
  <c r="G25" i="4" s="1"/>
  <c r="G33" i="4" s="1"/>
  <c r="F17" i="4"/>
  <c r="F25" i="4" s="1"/>
  <c r="F33" i="4" s="1"/>
  <c r="E17" i="4"/>
  <c r="D17" i="4"/>
  <c r="D25" i="4" s="1"/>
  <c r="D33" i="4" s="1"/>
  <c r="C17" i="4"/>
  <c r="C25" i="4" s="1"/>
  <c r="C33" i="4" s="1"/>
  <c r="B17" i="4"/>
  <c r="B25" i="4" s="1"/>
  <c r="M16" i="4"/>
  <c r="M24" i="4" s="1"/>
  <c r="M32" i="4" s="1"/>
  <c r="L16" i="4"/>
  <c r="L24" i="4" s="1"/>
  <c r="L32" i="4" s="1"/>
  <c r="K16" i="4"/>
  <c r="K24" i="4" s="1"/>
  <c r="K32" i="4" s="1"/>
  <c r="J16" i="4"/>
  <c r="I16" i="4"/>
  <c r="I24" i="4" s="1"/>
  <c r="I32" i="4" s="1"/>
  <c r="H16" i="4"/>
  <c r="H24" i="4" s="1"/>
  <c r="H32" i="4" s="1"/>
  <c r="G16" i="4"/>
  <c r="G24" i="4" s="1"/>
  <c r="G32" i="4" s="1"/>
  <c r="F16" i="4"/>
  <c r="F24" i="4" s="1"/>
  <c r="F32" i="4" s="1"/>
  <c r="E16" i="4"/>
  <c r="E24" i="4" s="1"/>
  <c r="E32" i="4" s="1"/>
  <c r="D16" i="4"/>
  <c r="D24" i="4" s="1"/>
  <c r="D32" i="4" s="1"/>
  <c r="C16" i="4"/>
  <c r="C24" i="4" s="1"/>
  <c r="C32" i="4" s="1"/>
  <c r="B16" i="4"/>
  <c r="N16" i="4" s="1"/>
  <c r="M15" i="4"/>
  <c r="M23" i="4" s="1"/>
  <c r="M31" i="4" s="1"/>
  <c r="L15" i="4"/>
  <c r="L23" i="4" s="1"/>
  <c r="L31" i="4" s="1"/>
  <c r="K15" i="4"/>
  <c r="K23" i="4" s="1"/>
  <c r="K31" i="4" s="1"/>
  <c r="J15" i="4"/>
  <c r="J23" i="4" s="1"/>
  <c r="J31" i="4" s="1"/>
  <c r="I15" i="4"/>
  <c r="I23" i="4" s="1"/>
  <c r="I31" i="4" s="1"/>
  <c r="H15" i="4"/>
  <c r="H23" i="4" s="1"/>
  <c r="H31" i="4" s="1"/>
  <c r="G15" i="4"/>
  <c r="G23" i="4" s="1"/>
  <c r="G31" i="4" s="1"/>
  <c r="F15" i="4"/>
  <c r="F23" i="4" s="1"/>
  <c r="F31" i="4" s="1"/>
  <c r="E15" i="4"/>
  <c r="E23" i="4" s="1"/>
  <c r="E31" i="4" s="1"/>
  <c r="D15" i="4"/>
  <c r="D23" i="4" s="1"/>
  <c r="D31" i="4" s="1"/>
  <c r="C15" i="4"/>
  <c r="B15" i="4"/>
  <c r="B23" i="4" s="1"/>
  <c r="N12" i="4"/>
  <c r="N11" i="4"/>
  <c r="N10" i="4"/>
  <c r="N9" i="4"/>
  <c r="N8" i="4"/>
  <c r="N7" i="4"/>
  <c r="L35" i="3"/>
  <c r="C32" i="3"/>
  <c r="M28" i="3"/>
  <c r="M36" i="3" s="1"/>
  <c r="I28" i="3"/>
  <c r="I36" i="3" s="1"/>
  <c r="E28" i="3"/>
  <c r="E36" i="3" s="1"/>
  <c r="J27" i="3"/>
  <c r="J35" i="3" s="1"/>
  <c r="F27" i="3"/>
  <c r="F35" i="3" s="1"/>
  <c r="B27" i="3"/>
  <c r="B35" i="3" s="1"/>
  <c r="K26" i="3"/>
  <c r="K34" i="3" s="1"/>
  <c r="G26" i="3"/>
  <c r="G34" i="3" s="1"/>
  <c r="C26" i="3"/>
  <c r="C34" i="3" s="1"/>
  <c r="L25" i="3"/>
  <c r="L33" i="3" s="1"/>
  <c r="H25" i="3"/>
  <c r="H33" i="3" s="1"/>
  <c r="D25" i="3"/>
  <c r="D33" i="3" s="1"/>
  <c r="M24" i="3"/>
  <c r="M32" i="3" s="1"/>
  <c r="I24" i="3"/>
  <c r="I32" i="3" s="1"/>
  <c r="E24" i="3"/>
  <c r="E32" i="3" s="1"/>
  <c r="J23" i="3"/>
  <c r="J31" i="3" s="1"/>
  <c r="F23" i="3"/>
  <c r="F31" i="3" s="1"/>
  <c r="B23" i="3"/>
  <c r="B31" i="3" s="1"/>
  <c r="M20" i="3"/>
  <c r="L20" i="3"/>
  <c r="L28" i="3" s="1"/>
  <c r="L36" i="3" s="1"/>
  <c r="K20" i="3"/>
  <c r="K28" i="3" s="1"/>
  <c r="K36" i="3" s="1"/>
  <c r="J20" i="3"/>
  <c r="J28" i="3" s="1"/>
  <c r="J36" i="3" s="1"/>
  <c r="I20" i="3"/>
  <c r="H20" i="3"/>
  <c r="H28" i="3" s="1"/>
  <c r="H36" i="3" s="1"/>
  <c r="G20" i="3"/>
  <c r="G28" i="3" s="1"/>
  <c r="G36" i="3" s="1"/>
  <c r="F20" i="3"/>
  <c r="F28" i="3" s="1"/>
  <c r="F36" i="3" s="1"/>
  <c r="E20" i="3"/>
  <c r="D20" i="3"/>
  <c r="D28" i="3" s="1"/>
  <c r="D36" i="3" s="1"/>
  <c r="C20" i="3"/>
  <c r="C28" i="3" s="1"/>
  <c r="C36" i="3" s="1"/>
  <c r="B20" i="3"/>
  <c r="N20" i="3" s="1"/>
  <c r="N28" i="3" s="1"/>
  <c r="N36" i="3" s="1"/>
  <c r="M19" i="3"/>
  <c r="M27" i="3" s="1"/>
  <c r="M35" i="3" s="1"/>
  <c r="L19" i="3"/>
  <c r="L27" i="3" s="1"/>
  <c r="K19" i="3"/>
  <c r="K27" i="3" s="1"/>
  <c r="K35" i="3" s="1"/>
  <c r="J19" i="3"/>
  <c r="I19" i="3"/>
  <c r="I27" i="3" s="1"/>
  <c r="I35" i="3" s="1"/>
  <c r="H19" i="3"/>
  <c r="H27" i="3" s="1"/>
  <c r="H35" i="3" s="1"/>
  <c r="G19" i="3"/>
  <c r="G27" i="3" s="1"/>
  <c r="G35" i="3" s="1"/>
  <c r="F19" i="3"/>
  <c r="E19" i="3"/>
  <c r="E27" i="3" s="1"/>
  <c r="E35" i="3" s="1"/>
  <c r="D19" i="3"/>
  <c r="D27" i="3" s="1"/>
  <c r="D35" i="3" s="1"/>
  <c r="C19" i="3"/>
  <c r="C27" i="3" s="1"/>
  <c r="C35" i="3" s="1"/>
  <c r="B19" i="3"/>
  <c r="N19" i="3" s="1"/>
  <c r="N27" i="3" s="1"/>
  <c r="N35" i="3" s="1"/>
  <c r="M18" i="3"/>
  <c r="M26" i="3" s="1"/>
  <c r="M34" i="3" s="1"/>
  <c r="L18" i="3"/>
  <c r="L26" i="3" s="1"/>
  <c r="L34" i="3" s="1"/>
  <c r="K18" i="3"/>
  <c r="J18" i="3"/>
  <c r="J26" i="3" s="1"/>
  <c r="J34" i="3" s="1"/>
  <c r="I18" i="3"/>
  <c r="I26" i="3" s="1"/>
  <c r="I34" i="3" s="1"/>
  <c r="H18" i="3"/>
  <c r="H26" i="3" s="1"/>
  <c r="H34" i="3" s="1"/>
  <c r="G18" i="3"/>
  <c r="F18" i="3"/>
  <c r="F26" i="3" s="1"/>
  <c r="F34" i="3" s="1"/>
  <c r="E18" i="3"/>
  <c r="E26" i="3" s="1"/>
  <c r="E34" i="3" s="1"/>
  <c r="D18" i="3"/>
  <c r="D26" i="3" s="1"/>
  <c r="D34" i="3" s="1"/>
  <c r="C18" i="3"/>
  <c r="B18" i="3"/>
  <c r="B26" i="3" s="1"/>
  <c r="B34" i="3" s="1"/>
  <c r="M17" i="3"/>
  <c r="M25" i="3" s="1"/>
  <c r="M33" i="3" s="1"/>
  <c r="L17" i="3"/>
  <c r="K17" i="3"/>
  <c r="K25" i="3" s="1"/>
  <c r="K33" i="3" s="1"/>
  <c r="J17" i="3"/>
  <c r="J25" i="3" s="1"/>
  <c r="J33" i="3" s="1"/>
  <c r="I17" i="3"/>
  <c r="I25" i="3" s="1"/>
  <c r="I33" i="3" s="1"/>
  <c r="H17" i="3"/>
  <c r="G17" i="3"/>
  <c r="G25" i="3" s="1"/>
  <c r="G33" i="3" s="1"/>
  <c r="F17" i="3"/>
  <c r="F25" i="3" s="1"/>
  <c r="F33" i="3" s="1"/>
  <c r="E17" i="3"/>
  <c r="E25" i="3" s="1"/>
  <c r="E33" i="3" s="1"/>
  <c r="D17" i="3"/>
  <c r="C17" i="3"/>
  <c r="C25" i="3" s="1"/>
  <c r="C33" i="3" s="1"/>
  <c r="B17" i="3"/>
  <c r="B25" i="3" s="1"/>
  <c r="B33" i="3" s="1"/>
  <c r="M16" i="3"/>
  <c r="L16" i="3"/>
  <c r="L24" i="3" s="1"/>
  <c r="L32" i="3" s="1"/>
  <c r="K16" i="3"/>
  <c r="K24" i="3" s="1"/>
  <c r="K32" i="3" s="1"/>
  <c r="J16" i="3"/>
  <c r="J24" i="3" s="1"/>
  <c r="J32" i="3" s="1"/>
  <c r="I16" i="3"/>
  <c r="H16" i="3"/>
  <c r="H24" i="3" s="1"/>
  <c r="H32" i="3" s="1"/>
  <c r="G16" i="3"/>
  <c r="G24" i="3" s="1"/>
  <c r="G32" i="3" s="1"/>
  <c r="F16" i="3"/>
  <c r="F24" i="3" s="1"/>
  <c r="F32" i="3" s="1"/>
  <c r="E16" i="3"/>
  <c r="D16" i="3"/>
  <c r="D24" i="3" s="1"/>
  <c r="D32" i="3" s="1"/>
  <c r="C16" i="3"/>
  <c r="C24" i="3" s="1"/>
  <c r="B16" i="3"/>
  <c r="N16" i="3" s="1"/>
  <c r="N24" i="3" s="1"/>
  <c r="N32" i="3" s="1"/>
  <c r="M15" i="3"/>
  <c r="M23" i="3" s="1"/>
  <c r="M31" i="3" s="1"/>
  <c r="L15" i="3"/>
  <c r="L23" i="3" s="1"/>
  <c r="L31" i="3" s="1"/>
  <c r="K15" i="3"/>
  <c r="K23" i="3" s="1"/>
  <c r="K31" i="3" s="1"/>
  <c r="J15" i="3"/>
  <c r="I15" i="3"/>
  <c r="I23" i="3" s="1"/>
  <c r="I31" i="3" s="1"/>
  <c r="H15" i="3"/>
  <c r="H23" i="3" s="1"/>
  <c r="H31" i="3" s="1"/>
  <c r="G15" i="3"/>
  <c r="G23" i="3" s="1"/>
  <c r="G31" i="3" s="1"/>
  <c r="F15" i="3"/>
  <c r="E15" i="3"/>
  <c r="E23" i="3" s="1"/>
  <c r="E31" i="3" s="1"/>
  <c r="D15" i="3"/>
  <c r="D23" i="3" s="1"/>
  <c r="D31" i="3" s="1"/>
  <c r="C15" i="3"/>
  <c r="C23" i="3" s="1"/>
  <c r="C31" i="3" s="1"/>
  <c r="B15" i="3"/>
  <c r="N15" i="3" s="1"/>
  <c r="N23" i="3" s="1"/>
  <c r="N31" i="3" s="1"/>
  <c r="N12" i="3"/>
  <c r="N11" i="3"/>
  <c r="N10" i="3"/>
  <c r="N9" i="3"/>
  <c r="N8" i="3"/>
  <c r="N7" i="3"/>
  <c r="D14" i="2"/>
  <c r="E14" i="2" s="1"/>
  <c r="D13" i="2"/>
  <c r="E13" i="2" s="1"/>
  <c r="D12" i="2"/>
  <c r="E12" i="2" s="1"/>
  <c r="D11" i="2"/>
  <c r="E11" i="2" s="1"/>
  <c r="B36" i="5" l="1"/>
  <c r="N28" i="5"/>
  <c r="N36" i="5" s="1"/>
  <c r="B32" i="4"/>
  <c r="N24" i="4"/>
  <c r="N32" i="4" s="1"/>
  <c r="B32" i="5"/>
  <c r="N24" i="5"/>
  <c r="N32" i="5" s="1"/>
  <c r="N20" i="5"/>
  <c r="D40" i="6"/>
  <c r="D39" i="6"/>
  <c r="N25" i="4"/>
  <c r="N33" i="4" s="1"/>
  <c r="B33" i="4"/>
  <c r="N17" i="4"/>
  <c r="N17" i="3"/>
  <c r="N25" i="3" s="1"/>
  <c r="N33" i="3" s="1"/>
  <c r="N26" i="4"/>
  <c r="N34" i="4" s="1"/>
  <c r="N20" i="4"/>
  <c r="C19" i="6"/>
  <c r="C36" i="6" s="1"/>
  <c r="C33" i="6"/>
  <c r="C17" i="6"/>
  <c r="C34" i="6" s="1"/>
  <c r="C18" i="6"/>
  <c r="N18" i="3"/>
  <c r="N26" i="3" s="1"/>
  <c r="N34" i="3" s="1"/>
  <c r="B24" i="3"/>
  <c r="B32" i="3" s="1"/>
  <c r="B28" i="3"/>
  <c r="B36" i="3" s="1"/>
  <c r="N18" i="4"/>
  <c r="B26" i="5"/>
  <c r="B41" i="6"/>
  <c r="B31" i="4"/>
  <c r="N23" i="4"/>
  <c r="N31" i="4" s="1"/>
  <c r="N15" i="4"/>
  <c r="B35" i="4"/>
  <c r="N27" i="4"/>
  <c r="N35" i="4" s="1"/>
  <c r="N19" i="4"/>
  <c r="B28" i="4"/>
  <c r="N15" i="5"/>
  <c r="N16" i="5"/>
  <c r="B37" i="6"/>
  <c r="N25" i="5"/>
  <c r="N33" i="5" s="1"/>
  <c r="B33" i="5"/>
  <c r="C35" i="6"/>
  <c r="N17" i="5"/>
  <c r="N23" i="5"/>
  <c r="N31" i="5" s="1"/>
  <c r="N27" i="5"/>
  <c r="N35" i="5" s="1"/>
  <c r="B40" i="6" l="1"/>
  <c r="B39" i="6"/>
  <c r="B36" i="4"/>
  <c r="N28" i="4"/>
  <c r="N36" i="4" s="1"/>
  <c r="C37" i="6"/>
  <c r="N26" i="5"/>
  <c r="N34" i="5" s="1"/>
  <c r="B34" i="5"/>
  <c r="C41" i="6"/>
  <c r="C39" i="6" l="1"/>
  <c r="C40" i="6"/>
</calcChain>
</file>

<file path=xl/sharedStrings.xml><?xml version="1.0" encoding="utf-8"?>
<sst xmlns="http://schemas.openxmlformats.org/spreadsheetml/2006/main" count="408" uniqueCount="171">
  <si>
    <t>MODEL METHODOLOGY &amp; DATA DICTIONARY</t>
  </si>
  <si>
    <t>How this model works — built to replicate enterprise vendor consolidation and variance analysis practices in regulated financial services</t>
  </si>
  <si>
    <t>IMPORTANT NOTE</t>
  </si>
  <si>
    <t>All data in this workbook is synthetic and created for demonstration purposes only. No actual employer, client, or proprietary data is used. The model structure, methodology, and analytical approach reflect professional financial modeling practices developed across 20+ years in commercial real estate finance, capital markets, and enterprise analytics.</t>
  </si>
  <si>
    <t>MODEL ARCHITECTURE</t>
  </si>
  <si>
    <t>This model is built in five interconnected tabs:</t>
  </si>
  <si>
    <t xml:space="preserve">  1.  Executive Dashboard — KPI summary tiles + department savings by category. Built for C-suite consumption.</t>
  </si>
  <si>
    <t xml:space="preserve">  2.  Variance Analysis — Month-by-month actual vs. budget vs. forecast by cost category. Designed for Department review cadence.</t>
  </si>
  <si>
    <t xml:space="preserve">  3.  Consolidation Scenarios — Three scenario comparison (Conservative / Base / Aggressive) driven by assumption toggles.</t>
  </si>
  <si>
    <t xml:space="preserve">  4.  Sensitivity Model — Two-variable sensitivity table showing net savings across a range of vendor reduction % and discount rate combinations.</t>
  </si>
  <si>
    <t xml:space="preserve">  5.  Methodology (this tab) — Model documentation, data dictionary, and color-coding guide.</t>
  </si>
  <si>
    <t>COLOR CODING (INDUSTRY STANDARD)</t>
  </si>
  <si>
    <t>Blue text = hardcoded inputs (change these to run scenarios)</t>
  </si>
  <si>
    <t>Black text = formula outputs (do not change — these calculate automatically)</t>
  </si>
  <si>
    <t>Yellow background = toggle cells — these are the key assumption inputs to adjust</t>
  </si>
  <si>
    <t>Green shading (dark) = high-impact outcome cells in sensitivity table</t>
  </si>
  <si>
    <t>KEY MODEL ASSUMPTIONS &amp; SOURCES</t>
  </si>
  <si>
    <t>Baseline vendor spend: $428.6M total across Finance ($142.3M), Risk ($98.7M), and Operations ($187.6M)</t>
  </si>
  <si>
    <t>Current vendor count: 47 (across all three departments combined)</t>
  </si>
  <si>
    <t>Renegotiation discount: 18% average savings on retained vendor spend via volume consolidation (Base Case)</t>
  </si>
  <si>
    <t>Transition cost: $4.2M one-time (contract renegotiation legal fees, migration support, integration labor)</t>
  </si>
  <si>
    <t>Year 1 savings capture: 85% (ramp period — some contracts have exit provisions or minimum terms)</t>
  </si>
  <si>
    <t>Year 3 savings capture: 100% (full steady-state run rate)</t>
  </si>
  <si>
    <t>HOW TO WALK THROUGH THIS MODEL</t>
  </si>
  <si>
    <t>Step 1 — Start with the Executive Dashboard. State the headline: $180M in identified savings across Finance, Risk, and Operations.</t>
  </si>
  <si>
    <t>Step 2 — Navigate to Variance Analysis. Explain how you reconciled actual vs. budget across three business units before modeling anything.</t>
  </si>
  <si>
    <t>Step 3 — Navigate to Consolidation Scenarios. Show the three scenarios. Explain why Scenario B was recommended (balance of impact vs. risk).</t>
  </si>
  <si>
    <t>Step 4 — Navigate to Sensitivity Model. Explain the two-variable logic: as vendor reduction increases and discount rate improves, net savings grow. The yellow cell shows where the actual recommendation landed.</t>
  </si>
  <si>
    <t>Step 5 — Close the loop: 'The models were built once the underlying data was governed. The $180M outcome was possible because leadership trusted the data it was built on. Without the reconciliation work first, the models would have been rejected as unreliable.'</t>
  </si>
  <si>
    <t>ENTERPRISE COST OPTIMIZATION — EXECUTIVE SUMMARY</t>
  </si>
  <si>
    <t>Vendor Consolidation Analysis  |  FY2022–FY2023  |  All figures in $M  |  Synthetic demonstration data</t>
  </si>
  <si>
    <t>Total Identified
Savings</t>
  </si>
  <si>
    <t>Vendors
Consolidated</t>
  </si>
  <si>
    <t>Audit Escalations</t>
  </si>
  <si>
    <t>Stakeholders
Aligned</t>
  </si>
  <si>
    <t>$180.4M</t>
  </si>
  <si>
    <t>47 → 18</t>
  </si>
  <si>
    <t>Zero</t>
  </si>
  <si>
    <t>150+</t>
  </si>
  <si>
    <t>+12.3% vs. Target</t>
  </si>
  <si>
    <t>62% Reduction</t>
  </si>
  <si>
    <t>3-Year Record</t>
  </si>
  <si>
    <t>Finance | Risk | Ops</t>
  </si>
  <si>
    <t>SAVINGS BY DEPARTMENT</t>
  </si>
  <si>
    <t>Department</t>
  </si>
  <si>
    <t>Baseline Spend ($M)</t>
  </si>
  <si>
    <t>Post-Consolidation ($M)</t>
  </si>
  <si>
    <t>Savings ($M)</t>
  </si>
  <si>
    <t>Savings %</t>
  </si>
  <si>
    <t>Status</t>
  </si>
  <si>
    <t>Finance</t>
  </si>
  <si>
    <t>✓ Complete</t>
  </si>
  <si>
    <t>Risk</t>
  </si>
  <si>
    <t>Operations</t>
  </si>
  <si>
    <t>TOTAL</t>
  </si>
  <si>
    <t>Methodology: Baseline = FY2022 actual vendor spend by department. Post-consolidation = projected spend after vendor rationalization under Scenario B (62% vendor reduction). Variance validated against Finance, Risk, and Operations source data with reconciliation controls.</t>
  </si>
  <si>
    <t>DEPARTMENT-LEVEL COST VARIANCE ANALYSIS</t>
  </si>
  <si>
    <t>Actual vs. Budget vs. Forecast by Cost Category  |  FY2022 Full Year  |  $000s | Dept Baseline: $142.3M</t>
  </si>
  <si>
    <t>FINANCE DEPARTMENT</t>
  </si>
  <si>
    <t>Cost Category</t>
  </si>
  <si>
    <t>Jan</t>
  </si>
  <si>
    <t>Feb</t>
  </si>
  <si>
    <t>Mar</t>
  </si>
  <si>
    <t>Apr</t>
  </si>
  <si>
    <t>May</t>
  </si>
  <si>
    <t>Jun</t>
  </si>
  <si>
    <t>Jul</t>
  </si>
  <si>
    <t>Aug</t>
  </si>
  <si>
    <t>Sep</t>
  </si>
  <si>
    <t>Oct</t>
  </si>
  <si>
    <t>Nov</t>
  </si>
  <si>
    <t>Dec</t>
  </si>
  <si>
    <t>FY Total</t>
  </si>
  <si>
    <t>Budget</t>
  </si>
  <si>
    <t>Vendor Licensing</t>
  </si>
  <si>
    <t>Professional Services</t>
  </si>
  <si>
    <t>Software &amp; Platforms</t>
  </si>
  <si>
    <t>Infrastructure &amp; Hosting</t>
  </si>
  <si>
    <t>Contracted Labor</t>
  </si>
  <si>
    <t>Miscellaneous Vendor</t>
  </si>
  <si>
    <t>Actual</t>
  </si>
  <si>
    <t>Variance $</t>
  </si>
  <si>
    <t>Variance %</t>
  </si>
  <si>
    <t>Actual vs. Budget vs. Forecast by Cost Category  |  FY2022 Full Year  |  $000s  |  Dept Baseline: $98.7M</t>
  </si>
  <si>
    <t>RISK DEPARTMENT</t>
  </si>
  <si>
    <t>Note: Actual figures calculated as Budget × (1 + monthly variance rate). Variance rates are synthetic demonstration values embedded in formulas. In a production model these would be sourced from the GL and stored in a separate assumptions table with reconciliation controls.</t>
  </si>
  <si>
    <t>Actual vs. Budget vs. Forecast by Cost Category  |  FY2022 Full Year  |  $000s  |  Dept Baseline: $187.6M</t>
  </si>
  <si>
    <t>OPERATIONS DEPARTMENT</t>
  </si>
  <si>
    <t>VENDOR CONSOLIDATION — SCENARIO ANALYSIS</t>
  </si>
  <si>
    <t>Toggle assumptions (blue cells) to model different consolidation strategies  |  $M</t>
  </si>
  <si>
    <t>MODEL ASSUMPTIONS — CHANGE BLUE CELLS TO TOGGLE SCENARIOS</t>
  </si>
  <si>
    <t>Assumption</t>
  </si>
  <si>
    <t>Value</t>
  </si>
  <si>
    <t>Notes</t>
  </si>
  <si>
    <t>Vendor Reduction Target %</t>
  </si>
  <si>
    <t>% of current vendor roster to eliminate</t>
  </si>
  <si>
    <t>Year 1 Transition Cost ($M)</t>
  </si>
  <si>
    <t>One-time migration, renegotiation, integration cost</t>
  </si>
  <si>
    <t>Year 2 Run-Rate Savings Capture %</t>
  </si>
  <si>
    <t>Year 2 savings capture (ramp period)</t>
  </si>
  <si>
    <t>Year 3 Full Savings Capture %</t>
  </si>
  <si>
    <t>Year 3 full steady-state savings</t>
  </si>
  <si>
    <t>Risk Contingency Reserve ($M)</t>
  </si>
  <si>
    <t>Reserve for contract dispute / remediation</t>
  </si>
  <si>
    <t>Renegotiation Discount Rate</t>
  </si>
  <si>
    <t>Average discount achieved via volume consolidation</t>
  </si>
  <si>
    <t>Total Enterprise Vendor Baseline ($M)</t>
  </si>
  <si>
    <t>Finance + Risk + Operations combined</t>
  </si>
  <si>
    <t>TRANSITION COST ASSUMPTIONS  |  Split: 60% Year 1 · 28% Year 2 · 12% Year 3</t>
  </si>
  <si>
    <t>Parameter</t>
  </si>
  <si>
    <t>Scenario A
(Conservative)</t>
  </si>
  <si>
    <t>Scenario B
(Base Case)</t>
  </si>
  <si>
    <t>Scenario C
(Aggressive)</t>
  </si>
  <si>
    <t>Transition Cost as % of Gross Savings</t>
  </si>
  <si>
    <t>A:15% less leverage  B:12% optimal efficiency  C:18% tail vendor complexity</t>
  </si>
  <si>
    <t>Total Transition Cost ($M)</t>
  </si>
  <si>
    <t>Gross savings × TC% (auto-calculated)</t>
  </si>
  <si>
    <t xml:space="preserve">  Year 1 TC ($M)  — 60%</t>
  </si>
  <si>
    <t>Migrations, legal, contract exits</t>
  </si>
  <si>
    <t xml:space="preserve">  Year 2 TC ($M)  — 28%</t>
  </si>
  <si>
    <t>Remaining migrations, change management</t>
  </si>
  <si>
    <t xml:space="preserve">  Year 3 TC ($M)  — 12%</t>
  </si>
  <si>
    <t>Tail cleanup and residual items</t>
  </si>
  <si>
    <t>SAVINGS CAPTURE RATES  |  Scenario B references shared assumption cells above</t>
  </si>
  <si>
    <t>Year 1 Savings Capture %</t>
  </si>
  <si>
    <t>% of gross savings captured in Year 1</t>
  </si>
  <si>
    <t>Year 2 Savings Capture %</t>
  </si>
  <si>
    <t>Ramp-period capture rate</t>
  </si>
  <si>
    <t>Year 3 Savings Capture %</t>
  </si>
  <si>
    <t>Full steady-state capture</t>
  </si>
  <si>
    <t>Risk Contingency ($M)</t>
  </si>
  <si>
    <t>Reserve for disputes/remediation</t>
  </si>
  <si>
    <t>SCENARIO OUTPUT — 3-YEAR MODEL  |  All outputs formula-driven from assumptions above</t>
  </si>
  <si>
    <t>Metric</t>
  </si>
  <si>
    <t>Scenario B
(Base Case — RECOMMENDED)</t>
  </si>
  <si>
    <t>Vendors Reduced</t>
  </si>
  <si>
    <t>47 → 28</t>
  </si>
  <si>
    <t>47 → 12</t>
  </si>
  <si>
    <t>Scope of consolidation</t>
  </si>
  <si>
    <t>Gross Savings Identified ($M)</t>
  </si>
  <si>
    <t>Full run-rate at Year 3 — scenario anchor inputs (blue = change to model)</t>
  </si>
  <si>
    <t>Transition Cost % of Gross</t>
  </si>
  <si>
    <t>From TC assumptions above</t>
  </si>
  <si>
    <t>Year 1 Net Savings ($M)</t>
  </si>
  <si>
    <t>Gross × Y1 capture % − Y1 transition cost</t>
  </si>
  <si>
    <t>Year 2 Net Savings ($M)</t>
  </si>
  <si>
    <t>Gross × Y2 capture % − Y2 transition cost</t>
  </si>
  <si>
    <t>Year 3 Net Savings ($M)</t>
  </si>
  <si>
    <t>Gross × Y3 capture % − Y3 transition cost</t>
  </si>
  <si>
    <t>3-Year Cumulative Net Savings ($M)</t>
  </si>
  <si>
    <t>Y1+Y2+Y3 net savings — transition costs already deducted in each year</t>
  </si>
  <si>
    <t>Reserve held — reduces net program value</t>
  </si>
  <si>
    <t>Net Program Value ($M)</t>
  </si>
  <si>
    <t>3-year cumulative net of contingency reserve</t>
  </si>
  <si>
    <t>3-Year ROI Multiple</t>
  </si>
  <si>
    <t>Cumulative net ÷ total TC  |  B has highest ROI — this is why it is recommended</t>
  </si>
  <si>
    <t>Break-Even (months)</t>
  </si>
  <si>
    <t>Multi-year: months until cumulative net savings recovers total transition cost</t>
  </si>
  <si>
    <t>WHY SCENARIO B IS RECOMMENDED: Fastest break-even (2 months) AND highest 3-year ROI multiple (21.5x). Scenario C generates more gross savings but the 18% TC rate (tail vendor complexity) reduces ROI to 14.8x. Scenario A is lowest risk but weakest ROI (14.0x). Scenario B is the optimal balance of impact, cost, and efficiency.</t>
  </si>
  <si>
    <t>SENSITIVITY ANALYSIS — NET SAVINGS vs. KEY VARIABLES</t>
  </si>
  <si>
    <t>Two-variable sensitivity: Vendor Reduction % vs. Renegotiation Discount Rate  |  $M net savings</t>
  </si>
  <si>
    <t>How to use: Change the blue assumption cells on the Consolidation Scenarios tab. This table auto-recalculates to show how net program value changes across a range of vendor reduction and discount rate combinations.</t>
  </si>
  <si>
    <t>NET SAVINGS SENSITIVITY TABLE ($M)</t>
  </si>
  <si>
    <t>Vendor
Reduction %
↓   Discount Rate →</t>
  </si>
  <si>
    <t>LEGEND</t>
  </si>
  <si>
    <t>$55M+     High impact</t>
  </si>
  <si>
    <t>$40M–$54M   Target range</t>
  </si>
  <si>
    <t>$25M–$39M   Acceptable</t>
  </si>
  <si>
    <t>Below $25M  Review assumptions</t>
  </si>
  <si>
    <t>Highlighted cell = Scenario B (62% reduction, 18% discount)</t>
  </si>
  <si>
    <t>Formula: Net Savings = Total Enterprise Baseline × Vendor Reduction % × Renegotiation Discount Rate − Transition Cost. All cells reference live assumption inputs on the Consolidation Scenarios tab. Change the Vendor Reduction % (B5) or Renegotiation Discount Rate (B10) on that tab to see the full sensitivity range update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</si>
</sst>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quot;($&quot;#,##0\);\-"/>
    <numFmt numFmtId="167" formatCode="0.0%;\(0.0%\);\-"/>
    <numFmt numFmtId="168" formatCode="\$#,##0.0;&quot;($&quot;#,##0.0\);\-"/>
    <numFmt numFmtId="169" formatCode="#,##0.0"/>
    <numFmt numFmtId="170" formatCode="0.0\x"/>
    <numFmt numFmtId="171" formatCode="0&quot; months&quot;"/>
  </numFmts>
  <fonts count="47" x14ac:knownFonts="1">
    <font>
      <sz val="11"/>
      <color theme="1"/>
      <name val="Calibri"/>
      <family val="2"/>
      <charset val="1"/>
    </font>
    <font>
      <b/>
      <sz val="16"/>
      <color rgb="FFFFFFFF"/>
      <name val="Arial"/>
      <charset val="1"/>
    </font>
    <font>
      <i/>
      <sz val="10"/>
      <color rgb="FF595959"/>
      <name val="Arial"/>
      <charset val="1"/>
    </font>
    <font>
      <b/>
      <sz val="10"/>
      <color rgb="FF595959"/>
      <name val="Arial"/>
      <charset val="1"/>
    </font>
    <font>
      <sz val="10"/>
      <color rgb="FF595959"/>
      <name val="Arial"/>
      <charset val="1"/>
    </font>
    <font>
      <b/>
      <sz val="10"/>
      <color rgb="FF1F3864"/>
      <name val="Arial"/>
      <charset val="1"/>
    </font>
    <font>
      <sz val="10"/>
      <color rgb="FF000000"/>
      <name val="Arial"/>
      <charset val="1"/>
    </font>
    <font>
      <sz val="10"/>
      <color rgb="FF000000"/>
      <name val="Arial"/>
      <family val="2"/>
      <charset val="1"/>
    </font>
    <font>
      <sz val="10"/>
      <color rgb="FF0000FF"/>
      <name val="Arial"/>
      <charset val="1"/>
    </font>
    <font>
      <sz val="10"/>
      <color rgb="FFBF8F00"/>
      <name val="Arial"/>
      <charset val="1"/>
    </font>
    <font>
      <sz val="10"/>
      <color rgb="FF375623"/>
      <name val="Arial"/>
      <charset val="1"/>
    </font>
    <font>
      <b/>
      <sz val="9"/>
      <color rgb="FFFFFFFF"/>
      <name val="Arial"/>
      <charset val="1"/>
    </font>
    <font>
      <b/>
      <sz val="20"/>
      <color rgb="FFFFFFFF"/>
      <name val="Arial"/>
      <charset val="1"/>
    </font>
    <font>
      <i/>
      <sz val="9"/>
      <color rgb="FFFFFFFF"/>
      <name val="Arial"/>
      <charset val="1"/>
    </font>
    <font>
      <b/>
      <sz val="11"/>
      <color rgb="FF1F3864"/>
      <name val="Arial"/>
      <charset val="1"/>
    </font>
    <font>
      <b/>
      <sz val="10"/>
      <color rgb="FFFFFFFF"/>
      <name val="Arial"/>
      <charset val="1"/>
    </font>
    <font>
      <b/>
      <sz val="10"/>
      <color rgb="FF000000"/>
      <name val="Arial"/>
      <charset val="1"/>
    </font>
    <font>
      <b/>
      <sz val="10"/>
      <color rgb="FF375623"/>
      <name val="Arial"/>
      <charset val="1"/>
    </font>
    <font>
      <i/>
      <sz val="9"/>
      <color rgb="FF595959"/>
      <name val="Arial"/>
      <charset val="1"/>
    </font>
    <font>
      <i/>
      <sz val="10"/>
      <color rgb="FF595959"/>
      <name val="Arial"/>
      <family val="2"/>
      <charset val="1"/>
    </font>
    <font>
      <b/>
      <sz val="9"/>
      <color rgb="FF1F3864"/>
      <name val="Arial"/>
      <charset val="1"/>
    </font>
    <font>
      <sz val="9"/>
      <color rgb="FF000000"/>
      <name val="Arial"/>
      <charset val="1"/>
    </font>
    <font>
      <sz val="9"/>
      <color rgb="FF0000FF"/>
      <name val="Arial"/>
      <charset val="1"/>
    </font>
    <font>
      <b/>
      <sz val="9"/>
      <color rgb="FF0070C0"/>
      <name val="Arial"/>
      <family val="2"/>
      <charset val="1"/>
    </font>
    <font>
      <b/>
      <sz val="9"/>
      <color rgb="FF000000"/>
      <name val="Arial"/>
      <charset val="1"/>
    </font>
    <font>
      <b/>
      <sz val="9"/>
      <color rgb="FF000000"/>
      <name val="Arial"/>
      <family val="2"/>
      <charset val="1"/>
    </font>
    <font>
      <b/>
      <sz val="16"/>
      <color rgb="FFFFFFFF"/>
      <name val="Arial"/>
      <family val="2"/>
      <charset val="1"/>
    </font>
    <font>
      <b/>
      <sz val="11"/>
      <color rgb="FF1F3864"/>
      <name val="Arial"/>
      <family val="2"/>
      <charset val="1"/>
    </font>
    <font>
      <b/>
      <sz val="11"/>
      <color rgb="FFFFFFFF"/>
      <name val="Arial"/>
      <charset val="1"/>
    </font>
    <font>
      <b/>
      <sz val="9"/>
      <color rgb="FFFFFFFF"/>
      <name val="Arial"/>
      <family val="2"/>
      <charset val="1"/>
    </font>
    <font>
      <sz val="9"/>
      <color rgb="FF000000"/>
      <name val="Arial"/>
      <family val="2"/>
      <charset val="1"/>
    </font>
    <font>
      <sz val="9"/>
      <color rgb="FF0000FF"/>
      <name val="Arial"/>
      <family val="2"/>
      <charset val="1"/>
    </font>
    <font>
      <sz val="9"/>
      <color theme="1"/>
      <name val="Calibri"/>
      <family val="2"/>
      <charset val="1"/>
    </font>
    <font>
      <b/>
      <sz val="9"/>
      <color rgb="FF1F3864"/>
      <name val="Arial"/>
      <family val="2"/>
      <charset val="1"/>
    </font>
    <font>
      <b/>
      <sz val="13"/>
      <color rgb="FFFFFFFF"/>
      <name val="Arial"/>
      <charset val="1"/>
    </font>
    <font>
      <b/>
      <sz val="9"/>
      <color rgb="FF0000FF"/>
      <name val="Arial"/>
      <family val="2"/>
      <charset val="1"/>
    </font>
    <font>
      <b/>
      <sz val="10"/>
      <color rgb="FF1F3864"/>
      <name val="Arial"/>
      <family val="2"/>
      <charset val="1"/>
    </font>
    <font>
      <b/>
      <sz val="10"/>
      <color rgb="FFFFFFFF"/>
      <name val="Arial"/>
      <family val="2"/>
      <charset val="1"/>
    </font>
    <font>
      <sz val="10"/>
      <color rgb="FF0000FF"/>
      <name val="Arial"/>
      <family val="2"/>
      <charset val="1"/>
    </font>
    <font>
      <i/>
      <sz val="9"/>
      <color rgb="FF595959"/>
      <name val="Arial"/>
      <family val="2"/>
      <charset val="1"/>
    </font>
    <font>
      <b/>
      <sz val="10"/>
      <color rgb="FF000000"/>
      <name val="Arial"/>
      <family val="2"/>
      <charset val="1"/>
    </font>
    <font>
      <b/>
      <sz val="10"/>
      <color rgb="FF0070C0"/>
      <name val="Arial"/>
      <family val="2"/>
      <charset val="1"/>
    </font>
    <font>
      <sz val="10"/>
      <name val="Arial"/>
      <family val="2"/>
      <charset val="1"/>
    </font>
    <font>
      <i/>
      <sz val="10"/>
      <color rgb="FF000000"/>
      <name val="Arial"/>
      <family val="2"/>
      <charset val="1"/>
    </font>
    <font>
      <sz val="10"/>
      <color rgb="FF2E75B6"/>
      <name val="Arial"/>
      <family val="2"/>
      <charset val="1"/>
    </font>
    <font>
      <sz val="10"/>
      <color rgb="FFC00000"/>
      <name val="Arial"/>
      <family val="2"/>
      <charset val="1"/>
    </font>
    <font>
      <sz val="9"/>
      <color rgb="FFC00000"/>
      <name val="Arial"/>
      <family val="2"/>
      <charset val="1"/>
    </font>
  </fonts>
  <fills count="18">
    <fill>
      <patternFill patternType="none"/>
    </fill>
    <fill>
      <patternFill patternType="gray125"/>
    </fill>
    <fill>
      <patternFill patternType="solid">
        <fgColor rgb="FF1F3864"/>
        <bgColor rgb="FF333399"/>
      </patternFill>
    </fill>
    <fill>
      <patternFill patternType="solid">
        <fgColor rgb="FFF2F2F2"/>
        <bgColor rgb="FFEBF3FB"/>
      </patternFill>
    </fill>
    <fill>
      <patternFill patternType="solid">
        <fgColor rgb="FF375623"/>
        <bgColor rgb="FF1F5C5F"/>
      </patternFill>
    </fill>
    <fill>
      <patternFill patternType="solid">
        <fgColor rgb="FF1F5C5F"/>
        <bgColor rgb="FF375623"/>
      </patternFill>
    </fill>
    <fill>
      <patternFill patternType="solid">
        <fgColor rgb="FFBF8F00"/>
        <bgColor rgb="FF808000"/>
      </patternFill>
    </fill>
    <fill>
      <patternFill patternType="solid">
        <fgColor rgb="FFFFFFFF"/>
        <bgColor rgb="FFFFFDE7"/>
      </patternFill>
    </fill>
    <fill>
      <patternFill patternType="solid">
        <fgColor rgb="FFFFF2CC"/>
        <bgColor rgb="FFFFF8DC"/>
      </patternFill>
    </fill>
    <fill>
      <patternFill patternType="solid">
        <fgColor rgb="FFEBF3FB"/>
        <bgColor rgb="FFEAF2FB"/>
      </patternFill>
    </fill>
    <fill>
      <patternFill patternType="solid">
        <fgColor rgb="FF2E75B6"/>
        <bgColor rgb="FF0070C0"/>
      </patternFill>
    </fill>
    <fill>
      <patternFill patternType="solid">
        <fgColor rgb="FFF0F7FB"/>
        <bgColor rgb="FFEBF3FB"/>
      </patternFill>
    </fill>
    <fill>
      <patternFill patternType="solid">
        <fgColor rgb="FFFFFDE7"/>
        <bgColor rgb="FFFFF8DC"/>
      </patternFill>
    </fill>
    <fill>
      <patternFill patternType="solid">
        <fgColor rgb="FFDCE6F1"/>
        <bgColor rgb="FFE2EFDA"/>
      </patternFill>
    </fill>
    <fill>
      <patternFill patternType="solid">
        <fgColor rgb="FFEAF2FB"/>
        <bgColor rgb="FFEBF3FB"/>
      </patternFill>
    </fill>
    <fill>
      <patternFill patternType="solid">
        <fgColor rgb="FFFFF8DC"/>
        <bgColor rgb="FFFFFDE7"/>
      </patternFill>
    </fill>
    <fill>
      <patternFill patternType="solid">
        <fgColor rgb="FFE2EFDA"/>
        <bgColor rgb="FFDCE6F1"/>
      </patternFill>
    </fill>
    <fill>
      <patternFill patternType="solid">
        <fgColor rgb="FFFCE4D6"/>
        <bgColor rgb="FFFFF2CC"/>
      </patternFill>
    </fill>
  </fills>
  <borders count="8">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142">
    <xf numFmtId="0" fontId="0" fillId="0" borderId="0" xfId="0"/>
    <xf numFmtId="0" fontId="13" fillId="6" borderId="0" xfId="0" applyFont="1" applyFill="1" applyAlignment="1">
      <alignment horizontal="center" vertical="center" wrapText="1"/>
    </xf>
    <xf numFmtId="0" fontId="13" fillId="5" borderId="0" xfId="0" applyFont="1" applyFill="1" applyAlignment="1">
      <alignment horizontal="center" vertical="center" wrapText="1"/>
    </xf>
    <xf numFmtId="0" fontId="13" fillId="2" borderId="0" xfId="0" applyFont="1" applyFill="1" applyAlignment="1">
      <alignment horizontal="center" vertical="center" wrapText="1"/>
    </xf>
    <xf numFmtId="0" fontId="13" fillId="4" borderId="0" xfId="0" applyFont="1" applyFill="1" applyAlignment="1">
      <alignment horizontal="center" vertical="center" wrapText="1"/>
    </xf>
    <xf numFmtId="0" fontId="12" fillId="6" borderId="0" xfId="0" applyFont="1" applyFill="1" applyAlignment="1">
      <alignment horizontal="center" vertical="center" wrapText="1"/>
    </xf>
    <xf numFmtId="0" fontId="12" fillId="5" borderId="0" xfId="0" applyFont="1" applyFill="1" applyAlignment="1">
      <alignment horizontal="center" vertical="center" wrapText="1"/>
    </xf>
    <xf numFmtId="0" fontId="12" fillId="2" borderId="0" xfId="0" applyFont="1" applyFill="1" applyAlignment="1">
      <alignment horizontal="center" vertical="center" wrapText="1"/>
    </xf>
    <xf numFmtId="0" fontId="12" fillId="4" borderId="0" xfId="0" applyFont="1" applyFill="1" applyAlignment="1">
      <alignment horizontal="center" vertical="center" wrapText="1"/>
    </xf>
    <xf numFmtId="0" fontId="11" fillId="6" borderId="0" xfId="0" applyFont="1" applyFill="1" applyAlignment="1">
      <alignment horizontal="center" vertical="center" wrapText="1"/>
    </xf>
    <xf numFmtId="0" fontId="11" fillId="5" borderId="0" xfId="0" applyFont="1" applyFill="1" applyAlignment="1">
      <alignment horizontal="center" vertical="center" wrapText="1"/>
    </xf>
    <xf numFmtId="0" fontId="11" fillId="2" borderId="0" xfId="0" applyFont="1" applyFill="1" applyAlignment="1">
      <alignment horizontal="center" vertical="center" wrapText="1"/>
    </xf>
    <xf numFmtId="0" fontId="11" fillId="4" borderId="0" xfId="0" applyFont="1" applyFill="1" applyAlignment="1">
      <alignment horizontal="center" vertical="center" wrapText="1"/>
    </xf>
    <xf numFmtId="0" fontId="2" fillId="3" borderId="0" xfId="0" applyFont="1" applyFill="1" applyAlignment="1">
      <alignment horizontal="left" vertical="center" indent="1"/>
    </xf>
    <xf numFmtId="0" fontId="1" fillId="2" borderId="0" xfId="0" applyFont="1" applyFill="1" applyAlignment="1">
      <alignment horizontal="center" vertical="center"/>
    </xf>
    <xf numFmtId="0" fontId="1" fillId="0" borderId="0" xfId="0" applyFont="1" applyAlignment="1">
      <alignment vertical="center"/>
    </xf>
    <xf numFmtId="0" fontId="14" fillId="0" borderId="0" xfId="0" applyFont="1"/>
    <xf numFmtId="0" fontId="15" fillId="2" borderId="2" xfId="0" applyFont="1" applyFill="1" applyBorder="1" applyAlignment="1">
      <alignment horizontal="center" vertical="center" wrapText="1"/>
    </xf>
    <xf numFmtId="0" fontId="16" fillId="3" borderId="2" xfId="0" applyFont="1" applyFill="1" applyBorder="1" applyAlignment="1">
      <alignment horizontal="left" vertical="center"/>
    </xf>
    <xf numFmtId="164" fontId="6" fillId="3" borderId="2"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xf>
    <xf numFmtId="0" fontId="17" fillId="3" borderId="2" xfId="0" applyFont="1" applyFill="1" applyBorder="1" applyAlignment="1">
      <alignment horizontal="center" vertical="center" wrapText="1"/>
    </xf>
    <xf numFmtId="0" fontId="16" fillId="7" borderId="2" xfId="0" applyFont="1" applyFill="1" applyBorder="1" applyAlignment="1">
      <alignment horizontal="left" vertical="center"/>
    </xf>
    <xf numFmtId="164" fontId="6" fillId="7" borderId="2" xfId="0" applyNumberFormat="1" applyFont="1" applyFill="1" applyBorder="1" applyAlignment="1">
      <alignment horizontal="center" vertical="center" wrapText="1"/>
    </xf>
    <xf numFmtId="165" fontId="6" fillId="7" borderId="2" xfId="0" applyNumberFormat="1" applyFont="1" applyFill="1" applyBorder="1" applyAlignment="1">
      <alignment horizontal="center" vertical="center" wrapText="1"/>
    </xf>
    <xf numFmtId="0" fontId="17" fillId="7" borderId="2" xfId="0" applyFont="1" applyFill="1" applyBorder="1" applyAlignment="1">
      <alignment horizontal="center" vertical="center" wrapText="1"/>
    </xf>
    <xf numFmtId="0" fontId="15" fillId="2" borderId="2" xfId="0" applyFont="1" applyFill="1" applyBorder="1" applyAlignment="1">
      <alignment horizontal="left" vertical="center"/>
    </xf>
    <xf numFmtId="164" fontId="15" fillId="2" borderId="2" xfId="0"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19" fillId="3" borderId="0" xfId="0" applyFont="1" applyFill="1" applyAlignment="1">
      <alignment horizontal="left" vertical="center" indent="1"/>
    </xf>
    <xf numFmtId="0" fontId="11" fillId="2" borderId="2" xfId="0" applyFont="1" applyFill="1" applyBorder="1" applyAlignment="1">
      <alignment horizontal="center" vertical="center" wrapText="1"/>
    </xf>
    <xf numFmtId="0" fontId="20" fillId="0" borderId="0" xfId="0" applyFont="1"/>
    <xf numFmtId="0" fontId="21" fillId="3" borderId="3" xfId="0" applyFont="1" applyFill="1" applyBorder="1"/>
    <xf numFmtId="166" fontId="22" fillId="3" borderId="3" xfId="0" applyNumberFormat="1" applyFont="1" applyFill="1" applyBorder="1" applyAlignment="1">
      <alignment horizontal="right" vertical="center"/>
    </xf>
    <xf numFmtId="166" fontId="23" fillId="3" borderId="3" xfId="0" applyNumberFormat="1" applyFont="1" applyFill="1" applyBorder="1" applyAlignment="1">
      <alignment horizontal="right" vertical="center"/>
    </xf>
    <xf numFmtId="0" fontId="20" fillId="7" borderId="0" xfId="0" applyFont="1" applyFill="1"/>
    <xf numFmtId="0" fontId="11" fillId="2" borderId="4" xfId="0" applyFont="1" applyFill="1" applyBorder="1" applyAlignment="1">
      <alignment horizontal="center" vertical="center" wrapText="1"/>
    </xf>
    <xf numFmtId="0" fontId="21" fillId="7" borderId="3" xfId="0" applyFont="1" applyFill="1" applyBorder="1"/>
    <xf numFmtId="166" fontId="21" fillId="7" borderId="3" xfId="0" applyNumberFormat="1" applyFont="1" applyFill="1" applyBorder="1" applyAlignment="1">
      <alignment horizontal="right" vertical="center"/>
    </xf>
    <xf numFmtId="166" fontId="24" fillId="7" borderId="3" xfId="0" applyNumberFormat="1" applyFont="1" applyFill="1" applyBorder="1" applyAlignment="1">
      <alignment horizontal="right" vertical="center"/>
    </xf>
    <xf numFmtId="166" fontId="21" fillId="3" borderId="3" xfId="0" applyNumberFormat="1" applyFont="1" applyFill="1" applyBorder="1" applyAlignment="1">
      <alignment horizontal="right" vertical="center"/>
    </xf>
    <xf numFmtId="166" fontId="25" fillId="3" borderId="3" xfId="0" applyNumberFormat="1" applyFont="1" applyFill="1" applyBorder="1" applyAlignment="1">
      <alignment horizontal="right" vertical="center"/>
    </xf>
    <xf numFmtId="167" fontId="21" fillId="3" borderId="3" xfId="0" applyNumberFormat="1" applyFont="1" applyFill="1" applyBorder="1" applyAlignment="1">
      <alignment horizontal="right" vertical="center"/>
    </xf>
    <xf numFmtId="167" fontId="25" fillId="3" borderId="3" xfId="0" applyNumberFormat="1" applyFont="1" applyFill="1" applyBorder="1" applyAlignment="1">
      <alignment horizontal="right" vertical="center"/>
    </xf>
    <xf numFmtId="0" fontId="26" fillId="0" borderId="0" xfId="0" applyFont="1" applyAlignment="1">
      <alignment vertical="center"/>
    </xf>
    <xf numFmtId="0" fontId="2" fillId="0" borderId="0" xfId="0" applyFont="1"/>
    <xf numFmtId="0" fontId="27" fillId="0" borderId="0" xfId="0" applyFont="1"/>
    <xf numFmtId="0" fontId="28" fillId="0" borderId="0" xfId="0" applyFont="1" applyAlignment="1">
      <alignment vertical="center"/>
    </xf>
    <xf numFmtId="0" fontId="29" fillId="0" borderId="0" xfId="0" applyFont="1" applyAlignment="1">
      <alignment vertical="center"/>
    </xf>
    <xf numFmtId="0" fontId="30" fillId="3" borderId="3" xfId="0" applyFont="1" applyFill="1" applyBorder="1" applyAlignment="1">
      <alignment horizontal="left" vertical="center"/>
    </xf>
    <xf numFmtId="166" fontId="31" fillId="7" borderId="3" xfId="0" applyNumberFormat="1" applyFont="1" applyFill="1" applyBorder="1" applyAlignment="1">
      <alignment horizontal="right" vertical="center"/>
    </xf>
    <xf numFmtId="166" fontId="23" fillId="0" borderId="3" xfId="0" applyNumberFormat="1" applyFont="1" applyBorder="1" applyAlignment="1">
      <alignment horizontal="right"/>
    </xf>
    <xf numFmtId="0" fontId="32" fillId="0" borderId="0" xfId="0" applyFont="1"/>
    <xf numFmtId="166" fontId="30" fillId="7" borderId="3" xfId="0" applyNumberFormat="1" applyFont="1" applyFill="1" applyBorder="1" applyAlignment="1">
      <alignment horizontal="right"/>
    </xf>
    <xf numFmtId="166" fontId="25" fillId="0" borderId="3" xfId="0" applyNumberFormat="1" applyFont="1" applyBorder="1" applyAlignment="1">
      <alignment horizontal="right"/>
    </xf>
    <xf numFmtId="0" fontId="33" fillId="0" borderId="0" xfId="0" applyFont="1"/>
    <xf numFmtId="166" fontId="30" fillId="0" borderId="3" xfId="0" applyNumberFormat="1" applyFont="1" applyBorder="1" applyAlignment="1">
      <alignment horizontal="right"/>
    </xf>
    <xf numFmtId="167" fontId="30" fillId="0" borderId="3" xfId="0" applyNumberFormat="1" applyFont="1" applyBorder="1" applyAlignment="1">
      <alignment horizontal="right"/>
    </xf>
    <xf numFmtId="167" fontId="25" fillId="0" borderId="3" xfId="0" applyNumberFormat="1" applyFont="1" applyBorder="1" applyAlignment="1">
      <alignment horizontal="right"/>
    </xf>
    <xf numFmtId="0" fontId="34" fillId="0" borderId="0" xfId="0" applyFont="1" applyAlignment="1">
      <alignment vertical="center"/>
    </xf>
    <xf numFmtId="0" fontId="15" fillId="0" borderId="0" xfId="0" applyFont="1" applyAlignment="1">
      <alignment vertical="center"/>
    </xf>
    <xf numFmtId="166" fontId="35" fillId="0" borderId="3" xfId="0" applyNumberFormat="1" applyFont="1" applyBorder="1" applyAlignment="1">
      <alignment horizontal="right"/>
    </xf>
    <xf numFmtId="0" fontId="36" fillId="0" borderId="0" xfId="0" applyFont="1"/>
    <xf numFmtId="0" fontId="37" fillId="2" borderId="4" xfId="0" applyFont="1" applyFill="1" applyBorder="1" applyAlignment="1">
      <alignment horizontal="center" vertical="center" wrapText="1"/>
    </xf>
    <xf numFmtId="0" fontId="7" fillId="3" borderId="3" xfId="0" applyFont="1" applyFill="1" applyBorder="1"/>
    <xf numFmtId="165" fontId="38" fillId="8" borderId="3" xfId="0" applyNumberFormat="1" applyFont="1" applyFill="1" applyBorder="1" applyAlignment="1">
      <alignment horizontal="center" vertical="center" wrapText="1"/>
    </xf>
    <xf numFmtId="0" fontId="7" fillId="7" borderId="3" xfId="0" applyFont="1" applyFill="1" applyBorder="1"/>
    <xf numFmtId="164" fontId="38" fillId="8" borderId="3" xfId="0" applyNumberFormat="1" applyFont="1" applyFill="1" applyBorder="1" applyAlignment="1">
      <alignment horizontal="center" vertical="center" wrapText="1"/>
    </xf>
    <xf numFmtId="0" fontId="40" fillId="3" borderId="3" xfId="0" applyFont="1" applyFill="1" applyBorder="1" applyAlignment="1">
      <alignment horizontal="left" vertical="center"/>
    </xf>
    <xf numFmtId="168" fontId="41" fillId="9" borderId="3" xfId="0" applyNumberFormat="1" applyFont="1" applyFill="1" applyBorder="1" applyAlignment="1">
      <alignment horizontal="center" vertical="center"/>
    </xf>
    <xf numFmtId="0" fontId="7" fillId="7" borderId="3" xfId="0" applyFont="1" applyFill="1" applyBorder="1" applyAlignment="1">
      <alignment horizontal="left" vertical="center"/>
    </xf>
    <xf numFmtId="0" fontId="42" fillId="7" borderId="0" xfId="0" applyFont="1" applyFill="1"/>
    <xf numFmtId="0" fontId="37" fillId="2" borderId="7" xfId="0" applyFont="1" applyFill="1" applyBorder="1" applyAlignment="1">
      <alignment horizontal="left" vertical="center"/>
    </xf>
    <xf numFmtId="0" fontId="37" fillId="2" borderId="7" xfId="0" applyFont="1" applyFill="1" applyBorder="1" applyAlignment="1">
      <alignment horizontal="center" vertical="center" wrapText="1"/>
    </xf>
    <xf numFmtId="0" fontId="37" fillId="2" borderId="7" xfId="0" applyFont="1" applyFill="1" applyBorder="1" applyAlignment="1">
      <alignment horizontal="center" vertical="center"/>
    </xf>
    <xf numFmtId="0" fontId="7" fillId="3" borderId="3" xfId="0" applyFont="1" applyFill="1" applyBorder="1" applyAlignment="1">
      <alignment horizontal="left" vertical="center"/>
    </xf>
    <xf numFmtId="9" fontId="41" fillId="9" borderId="3" xfId="0" applyNumberFormat="1" applyFont="1" applyFill="1" applyBorder="1" applyAlignment="1">
      <alignment horizontal="center" vertical="center"/>
    </xf>
    <xf numFmtId="0" fontId="43" fillId="7" borderId="3" xfId="0" applyFont="1" applyFill="1" applyBorder="1" applyAlignment="1">
      <alignment horizontal="left" vertical="center"/>
    </xf>
    <xf numFmtId="168" fontId="44" fillId="11" borderId="3" xfId="0" applyNumberFormat="1" applyFont="1" applyFill="1" applyBorder="1" applyAlignment="1">
      <alignment horizontal="center" vertical="center"/>
    </xf>
    <xf numFmtId="0" fontId="43" fillId="3" borderId="3" xfId="0" applyFont="1" applyFill="1" applyBorder="1" applyAlignment="1">
      <alignment horizontal="left" vertical="center"/>
    </xf>
    <xf numFmtId="0" fontId="42" fillId="7" borderId="0" xfId="0" applyFont="1" applyFill="1" applyAlignment="1">
      <alignment horizontal="left" vertical="center"/>
    </xf>
    <xf numFmtId="168" fontId="42" fillId="7" borderId="0" xfId="0" applyNumberFormat="1" applyFont="1" applyFill="1" applyAlignment="1">
      <alignment horizontal="center" vertical="center"/>
    </xf>
    <xf numFmtId="168" fontId="42" fillId="7" borderId="0" xfId="0" applyNumberFormat="1" applyFont="1" applyFill="1" applyAlignment="1">
      <alignment horizontal="center" vertical="center" wrapText="1"/>
    </xf>
    <xf numFmtId="0" fontId="42" fillId="7" borderId="0" xfId="0" applyFont="1" applyFill="1" applyAlignment="1">
      <alignment horizontal="center" vertical="center" wrapText="1"/>
    </xf>
    <xf numFmtId="2" fontId="41" fillId="9" borderId="3" xfId="0" applyNumberFormat="1" applyFont="1" applyFill="1" applyBorder="1" applyAlignment="1">
      <alignment horizontal="center" vertical="center"/>
    </xf>
    <xf numFmtId="2" fontId="44" fillId="11" borderId="3" xfId="0" applyNumberFormat="1" applyFont="1" applyFill="1" applyBorder="1" applyAlignment="1">
      <alignment horizontal="center" vertical="center"/>
    </xf>
    <xf numFmtId="169" fontId="42" fillId="7" borderId="0" xfId="0" applyNumberFormat="1" applyFont="1" applyFill="1" applyAlignment="1">
      <alignment horizontal="right" vertical="center"/>
    </xf>
    <xf numFmtId="169" fontId="37" fillId="2" borderId="7" xfId="0" applyNumberFormat="1" applyFont="1" applyFill="1" applyBorder="1" applyAlignment="1">
      <alignment horizontal="center" vertical="center" wrapText="1"/>
    </xf>
    <xf numFmtId="169" fontId="37" fillId="6" borderId="7" xfId="0" applyNumberFormat="1" applyFont="1" applyFill="1" applyBorder="1" applyAlignment="1">
      <alignment horizontal="center" vertical="center" wrapText="1"/>
    </xf>
    <xf numFmtId="169" fontId="7" fillId="3" borderId="3" xfId="0" applyNumberFormat="1" applyFont="1" applyFill="1" applyBorder="1" applyAlignment="1">
      <alignment horizontal="center" vertical="center"/>
    </xf>
    <xf numFmtId="169" fontId="41" fillId="9" borderId="3" xfId="0" applyNumberFormat="1" applyFont="1" applyFill="1" applyBorder="1" applyAlignment="1">
      <alignment horizontal="center" vertical="center"/>
    </xf>
    <xf numFmtId="9" fontId="44" fillId="11" borderId="3" xfId="0" applyNumberFormat="1" applyFont="1" applyFill="1" applyBorder="1" applyAlignment="1">
      <alignment horizontal="center" vertical="center"/>
    </xf>
    <xf numFmtId="169" fontId="44" fillId="11" borderId="3" xfId="0" applyNumberFormat="1" applyFont="1" applyFill="1" applyBorder="1" applyAlignment="1">
      <alignment horizontal="center" vertical="center"/>
    </xf>
    <xf numFmtId="169" fontId="7" fillId="7" borderId="3" xfId="0" applyNumberFormat="1" applyFont="1" applyFill="1" applyBorder="1" applyAlignment="1">
      <alignment horizontal="center" vertical="center"/>
    </xf>
    <xf numFmtId="169" fontId="7" fillId="12" borderId="3" xfId="0" applyNumberFormat="1" applyFont="1" applyFill="1" applyBorder="1" applyAlignment="1">
      <alignment horizontal="center" vertical="center"/>
    </xf>
    <xf numFmtId="0" fontId="40" fillId="13" borderId="3" xfId="0" applyFont="1" applyFill="1" applyBorder="1" applyAlignment="1">
      <alignment horizontal="left" vertical="center"/>
    </xf>
    <xf numFmtId="169" fontId="40" fillId="14" borderId="3" xfId="0" applyNumberFormat="1" applyFont="1" applyFill="1" applyBorder="1" applyAlignment="1">
      <alignment horizontal="center" vertical="center"/>
    </xf>
    <xf numFmtId="169" fontId="40" fillId="15" borderId="3" xfId="0" applyNumberFormat="1" applyFont="1" applyFill="1" applyBorder="1" applyAlignment="1">
      <alignment horizontal="center" vertical="center"/>
    </xf>
    <xf numFmtId="169" fontId="45" fillId="7" borderId="3" xfId="0" applyNumberFormat="1" applyFont="1" applyFill="1" applyBorder="1" applyAlignment="1">
      <alignment horizontal="center" vertical="center"/>
    </xf>
    <xf numFmtId="170" fontId="7" fillId="7" borderId="3" xfId="0" applyNumberFormat="1" applyFont="1" applyFill="1" applyBorder="1" applyAlignment="1">
      <alignment horizontal="center" vertical="center"/>
    </xf>
    <xf numFmtId="170" fontId="7" fillId="12" borderId="3" xfId="0" applyNumberFormat="1" applyFont="1" applyFill="1" applyBorder="1" applyAlignment="1">
      <alignment horizontal="center" vertical="center"/>
    </xf>
    <xf numFmtId="171" fontId="40" fillId="7" borderId="3" xfId="0" applyNumberFormat="1" applyFont="1" applyFill="1" applyBorder="1" applyAlignment="1">
      <alignment horizontal="center" vertical="center"/>
    </xf>
    <xf numFmtId="171" fontId="40" fillId="12" borderId="3" xfId="0" applyNumberFormat="1" applyFont="1" applyFill="1" applyBorder="1" applyAlignment="1">
      <alignment horizontal="center" vertical="center"/>
    </xf>
    <xf numFmtId="0" fontId="29" fillId="2" borderId="4" xfId="0" applyFont="1" applyFill="1" applyBorder="1" applyAlignment="1">
      <alignment horizontal="center" vertical="center" wrapText="1"/>
    </xf>
    <xf numFmtId="9" fontId="37" fillId="2" borderId="7" xfId="0" applyNumberFormat="1" applyFont="1" applyFill="1" applyBorder="1" applyAlignment="1">
      <alignment horizontal="center" vertical="center"/>
    </xf>
    <xf numFmtId="9" fontId="40" fillId="3" borderId="3" xfId="0" applyNumberFormat="1" applyFont="1" applyFill="1" applyBorder="1" applyAlignment="1">
      <alignment horizontal="center" vertical="center"/>
    </xf>
    <xf numFmtId="168" fontId="7" fillId="7" borderId="3" xfId="0" applyNumberFormat="1" applyFont="1" applyFill="1" applyBorder="1" applyAlignment="1">
      <alignment horizontal="center" vertical="center"/>
    </xf>
    <xf numFmtId="168" fontId="37" fillId="2" borderId="3" xfId="0" applyNumberFormat="1" applyFont="1" applyFill="1" applyBorder="1" applyAlignment="1">
      <alignment horizontal="center" vertical="center"/>
    </xf>
    <xf numFmtId="0" fontId="29" fillId="4" borderId="2" xfId="0" applyFont="1" applyFill="1" applyBorder="1" applyAlignment="1">
      <alignment horizontal="left" vertical="center"/>
    </xf>
    <xf numFmtId="0" fontId="30" fillId="16" borderId="2" xfId="0" applyFont="1" applyFill="1" applyBorder="1" applyAlignment="1">
      <alignment horizontal="left" vertical="center"/>
    </xf>
    <xf numFmtId="0" fontId="30" fillId="7" borderId="2" xfId="0" applyFont="1" applyFill="1" applyBorder="1" applyAlignment="1">
      <alignment horizontal="left" vertical="center"/>
    </xf>
    <xf numFmtId="0" fontId="46" fillId="17" borderId="2" xfId="0" applyFont="1" applyFill="1" applyBorder="1" applyAlignment="1">
      <alignment horizontal="left" vertical="center"/>
    </xf>
    <xf numFmtId="0" fontId="35" fillId="8" borderId="2" xfId="0" applyFont="1" applyFill="1" applyBorder="1" applyAlignment="1">
      <alignment horizontal="left" vertical="center"/>
    </xf>
    <xf numFmtId="0" fontId="0" fillId="4" borderId="0" xfId="0" applyFill="1"/>
    <xf numFmtId="0" fontId="0" fillId="2" borderId="0" xfId="0" applyFill="1"/>
    <xf numFmtId="0" fontId="0" fillId="5" borderId="0" xfId="0" applyFill="1"/>
    <xf numFmtId="0" fontId="0" fillId="6" borderId="0" xfId="0" applyFill="1"/>
    <xf numFmtId="0" fontId="18" fillId="0" borderId="0" xfId="0" applyFont="1" applyAlignment="1">
      <alignment horizontal="left" wrapText="1"/>
    </xf>
    <xf numFmtId="0" fontId="1" fillId="2" borderId="0" xfId="0" applyFont="1" applyFill="1" applyAlignment="1">
      <alignment horizontal="left" vertical="center" indent="1"/>
    </xf>
    <xf numFmtId="0" fontId="3" fillId="0" borderId="1" xfId="0" applyFont="1" applyBorder="1" applyAlignment="1">
      <alignment horizontal="left" vertical="center" wrapText="1" indent="1"/>
    </xf>
    <xf numFmtId="0" fontId="4" fillId="0" borderId="0" xfId="0" applyFont="1" applyAlignment="1">
      <alignment horizontal="left" vertical="center" wrapText="1" indent="1"/>
    </xf>
    <xf numFmtId="0" fontId="5" fillId="0" borderId="1" xfId="0" applyFont="1" applyBorder="1" applyAlignment="1">
      <alignment horizontal="left" vertical="center" wrapText="1" indent="1"/>
    </xf>
    <xf numFmtId="0" fontId="6" fillId="0" borderId="0" xfId="0" applyFont="1"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1"/>
    </xf>
    <xf numFmtId="0" fontId="10" fillId="0" borderId="0" xfId="0" applyFont="1" applyAlignment="1">
      <alignment horizontal="left" vertical="center" wrapText="1" indent="1"/>
    </xf>
    <xf numFmtId="0" fontId="19" fillId="3" borderId="0" xfId="0" applyFont="1" applyFill="1" applyAlignment="1">
      <alignment horizontal="left" vertical="center" indent="1"/>
    </xf>
    <xf numFmtId="0" fontId="26" fillId="2" borderId="0" xfId="0" applyFont="1" applyFill="1" applyAlignment="1">
      <alignment horizontal="left" vertical="center"/>
    </xf>
    <xf numFmtId="0" fontId="19" fillId="0" borderId="0" xfId="0" applyFont="1" applyAlignment="1">
      <alignment horizontal="left"/>
    </xf>
    <xf numFmtId="0" fontId="2" fillId="0" borderId="0" xfId="0" applyFont="1" applyAlignment="1">
      <alignment horizontal="left"/>
    </xf>
    <xf numFmtId="0" fontId="26" fillId="2" borderId="0" xfId="0" applyFont="1" applyFill="1" applyAlignment="1">
      <alignment horizontal="center" vertical="center"/>
    </xf>
    <xf numFmtId="0" fontId="37" fillId="2" borderId="5" xfId="0" applyFont="1" applyFill="1" applyBorder="1" applyAlignment="1">
      <alignment horizontal="center" vertical="center" wrapText="1"/>
    </xf>
    <xf numFmtId="0" fontId="39" fillId="3" borderId="3" xfId="0" applyFont="1" applyFill="1" applyBorder="1" applyAlignment="1">
      <alignment horizontal="left"/>
    </xf>
    <xf numFmtId="0" fontId="39" fillId="7" borderId="3" xfId="0" applyFont="1" applyFill="1" applyBorder="1" applyAlignment="1">
      <alignment horizontal="left"/>
    </xf>
    <xf numFmtId="0" fontId="7" fillId="7" borderId="3" xfId="0" applyFont="1" applyFill="1" applyBorder="1" applyAlignment="1">
      <alignment horizontal="left" vertical="center"/>
    </xf>
    <xf numFmtId="0" fontId="37" fillId="10" borderId="6" xfId="0" applyFont="1" applyFill="1" applyBorder="1" applyAlignment="1">
      <alignment horizontal="center" vertical="center"/>
    </xf>
    <xf numFmtId="0" fontId="37" fillId="2" borderId="6" xfId="0" applyFont="1" applyFill="1" applyBorder="1" applyAlignment="1">
      <alignment horizontal="center" vertical="center"/>
    </xf>
    <xf numFmtId="0" fontId="39" fillId="12" borderId="6" xfId="0" applyFont="1" applyFill="1" applyBorder="1" applyAlignment="1">
      <alignment horizontal="left" vertical="center" wrapText="1"/>
    </xf>
    <xf numFmtId="0" fontId="19" fillId="3" borderId="0" xfId="0" applyFont="1" applyFill="1" applyAlignment="1">
      <alignment horizontal="center" vertical="center"/>
    </xf>
    <xf numFmtId="0" fontId="39" fillId="0" borderId="0" xfId="0" applyFont="1" applyAlignment="1">
      <alignment vertical="center" wrapText="1"/>
    </xf>
    <xf numFmtId="0" fontId="39" fillId="0" borderId="0" xfId="0" applyFont="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DE7"/>
      <rgbColor rgb="FFFF00FF"/>
      <rgbColor rgb="FF00FFFF"/>
      <rgbColor rgb="FF800000"/>
      <rgbColor rgb="FF008000"/>
      <rgbColor rgb="FF000080"/>
      <rgbColor rgb="FF808000"/>
      <rgbColor rgb="FF800080"/>
      <rgbColor rgb="FF1F5C5F"/>
      <rgbColor rgb="FFBFBFBF"/>
      <rgbColor rgb="FF808080"/>
      <rgbColor rgb="FF9999FF"/>
      <rgbColor rgb="FF993366"/>
      <rgbColor rgb="FFFFF8DC"/>
      <rgbColor rgb="FFEAF2FB"/>
      <rgbColor rgb="FF660066"/>
      <rgbColor rgb="FFFF8080"/>
      <rgbColor rgb="FF0070C0"/>
      <rgbColor rgb="FFCCCCCC"/>
      <rgbColor rgb="FF000080"/>
      <rgbColor rgb="FFFF00FF"/>
      <rgbColor rgb="FFFFFF00"/>
      <rgbColor rgb="FF00FFFF"/>
      <rgbColor rgb="FF800080"/>
      <rgbColor rgb="FF800000"/>
      <rgbColor rgb="FF008080"/>
      <rgbColor rgb="FF0000FF"/>
      <rgbColor rgb="FF00CCFF"/>
      <rgbColor rgb="FFEBF3FB"/>
      <rgbColor rgb="FFE2EFDA"/>
      <rgbColor rgb="FFFFF2CC"/>
      <rgbColor rgb="FFDCE6F1"/>
      <rgbColor rgb="FFF2F2F2"/>
      <rgbColor rgb="FFF0F7FB"/>
      <rgbColor rgb="FFFCE4D6"/>
      <rgbColor rgb="FF2E75B6"/>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showGridLines="0" tabSelected="1" zoomScaleNormal="100" workbookViewId="0">
      <selection activeCell="A24" sqref="A24:I24"/>
    </sheetView>
  </sheetViews>
  <sheetFormatPr defaultColWidth="8.7109375" defaultRowHeight="15" x14ac:dyDescent="0.25"/>
  <cols>
    <col min="1" max="1" width="100" customWidth="1"/>
  </cols>
  <sheetData>
    <row r="1" spans="1:10" ht="27.75" customHeight="1" x14ac:dyDescent="0.25">
      <c r="A1" s="118" t="s">
        <v>0</v>
      </c>
      <c r="B1" s="118"/>
      <c r="C1" s="118"/>
      <c r="D1" s="118"/>
      <c r="E1" s="118"/>
      <c r="F1" s="118"/>
      <c r="G1" s="118"/>
      <c r="H1" s="118"/>
      <c r="I1" s="118"/>
      <c r="J1" s="118"/>
    </row>
    <row r="2" spans="1:10" ht="15" customHeight="1" x14ac:dyDescent="0.25">
      <c r="A2" s="13" t="s">
        <v>1</v>
      </c>
      <c r="B2" s="13"/>
      <c r="C2" s="13"/>
      <c r="D2" s="13"/>
      <c r="E2" s="13"/>
      <c r="F2" s="13"/>
      <c r="G2" s="13"/>
      <c r="H2" s="13"/>
      <c r="I2" s="13"/>
      <c r="J2" s="13"/>
    </row>
    <row r="3" spans="1:10" ht="19.5" customHeight="1" x14ac:dyDescent="0.25">
      <c r="A3" s="119" t="s">
        <v>2</v>
      </c>
      <c r="B3" s="119"/>
      <c r="C3" s="119"/>
      <c r="D3" s="119"/>
      <c r="E3" s="119"/>
      <c r="F3" s="119"/>
      <c r="G3" s="119"/>
      <c r="H3" s="119"/>
      <c r="I3" s="119"/>
    </row>
    <row r="4" spans="1:10" ht="30" customHeight="1" x14ac:dyDescent="0.25">
      <c r="A4" s="120" t="s">
        <v>3</v>
      </c>
      <c r="B4" s="120"/>
      <c r="C4" s="120"/>
      <c r="D4" s="120"/>
      <c r="E4" s="120"/>
      <c r="F4" s="120"/>
      <c r="G4" s="120"/>
      <c r="H4" s="120"/>
      <c r="I4" s="120"/>
    </row>
    <row r="6" spans="1:10" ht="19.5" customHeight="1" x14ac:dyDescent="0.25">
      <c r="A6" s="121" t="s">
        <v>4</v>
      </c>
      <c r="B6" s="121"/>
      <c r="C6" s="121"/>
      <c r="D6" s="121"/>
      <c r="E6" s="121"/>
      <c r="F6" s="121"/>
      <c r="G6" s="121"/>
      <c r="H6" s="121"/>
      <c r="I6" s="121"/>
    </row>
    <row r="7" spans="1:10" ht="19.5" customHeight="1" x14ac:dyDescent="0.25">
      <c r="A7" s="122" t="s">
        <v>5</v>
      </c>
      <c r="B7" s="122"/>
      <c r="C7" s="122"/>
      <c r="D7" s="122"/>
      <c r="E7" s="122"/>
      <c r="F7" s="122"/>
      <c r="G7" s="122"/>
      <c r="H7" s="122"/>
      <c r="I7" s="122"/>
    </row>
    <row r="8" spans="1:10" ht="19.5" customHeight="1" x14ac:dyDescent="0.25">
      <c r="A8" s="122" t="s">
        <v>6</v>
      </c>
      <c r="B8" s="122"/>
      <c r="C8" s="122"/>
      <c r="D8" s="122"/>
      <c r="E8" s="122"/>
      <c r="F8" s="122"/>
      <c r="G8" s="122"/>
      <c r="H8" s="122"/>
      <c r="I8" s="122"/>
    </row>
    <row r="9" spans="1:10" ht="19.5" customHeight="1" x14ac:dyDescent="0.25">
      <c r="A9" s="123" t="s">
        <v>7</v>
      </c>
      <c r="B9" s="123"/>
      <c r="C9" s="123"/>
      <c r="D9" s="123"/>
      <c r="E9" s="123"/>
      <c r="F9" s="123"/>
      <c r="G9" s="123"/>
      <c r="H9" s="123"/>
      <c r="I9" s="123"/>
    </row>
    <row r="10" spans="1:10" ht="19.5" customHeight="1" x14ac:dyDescent="0.25">
      <c r="A10" s="122" t="s">
        <v>8</v>
      </c>
      <c r="B10" s="122"/>
      <c r="C10" s="122"/>
      <c r="D10" s="122"/>
      <c r="E10" s="122"/>
      <c r="F10" s="122"/>
      <c r="G10" s="122"/>
      <c r="H10" s="122"/>
      <c r="I10" s="122"/>
    </row>
    <row r="11" spans="1:10" ht="19.5" customHeight="1" x14ac:dyDescent="0.25">
      <c r="A11" s="122" t="s">
        <v>9</v>
      </c>
      <c r="B11" s="122"/>
      <c r="C11" s="122"/>
      <c r="D11" s="122"/>
      <c r="E11" s="122"/>
      <c r="F11" s="122"/>
      <c r="G11" s="122"/>
      <c r="H11" s="122"/>
      <c r="I11" s="122"/>
    </row>
    <row r="12" spans="1:10" ht="19.5" customHeight="1" x14ac:dyDescent="0.25">
      <c r="A12" s="122" t="s">
        <v>10</v>
      </c>
      <c r="B12" s="122"/>
      <c r="C12" s="122"/>
      <c r="D12" s="122"/>
      <c r="E12" s="122"/>
      <c r="F12" s="122"/>
      <c r="G12" s="122"/>
      <c r="H12" s="122"/>
      <c r="I12" s="122"/>
    </row>
    <row r="14" spans="1:10" ht="19.5" customHeight="1" x14ac:dyDescent="0.25">
      <c r="A14" s="121" t="s">
        <v>11</v>
      </c>
      <c r="B14" s="121"/>
      <c r="C14" s="121"/>
      <c r="D14" s="121"/>
      <c r="E14" s="121"/>
      <c r="F14" s="121"/>
      <c r="G14" s="121"/>
      <c r="H14" s="121"/>
      <c r="I14" s="121"/>
    </row>
    <row r="15" spans="1:10" ht="19.5" customHeight="1" x14ac:dyDescent="0.25">
      <c r="A15" s="124" t="s">
        <v>12</v>
      </c>
      <c r="B15" s="124"/>
      <c r="C15" s="124"/>
      <c r="D15" s="124"/>
      <c r="E15" s="124"/>
      <c r="F15" s="124"/>
      <c r="G15" s="124"/>
      <c r="H15" s="124"/>
      <c r="I15" s="124"/>
    </row>
    <row r="16" spans="1:10" ht="19.5" customHeight="1" x14ac:dyDescent="0.25">
      <c r="A16" s="122" t="s">
        <v>13</v>
      </c>
      <c r="B16" s="122"/>
      <c r="C16" s="122"/>
      <c r="D16" s="122"/>
      <c r="E16" s="122"/>
      <c r="F16" s="122"/>
      <c r="G16" s="122"/>
      <c r="H16" s="122"/>
      <c r="I16" s="122"/>
    </row>
    <row r="17" spans="1:9" ht="19.5" customHeight="1" x14ac:dyDescent="0.25">
      <c r="A17" s="125" t="s">
        <v>14</v>
      </c>
      <c r="B17" s="125"/>
      <c r="C17" s="125"/>
      <c r="D17" s="125"/>
      <c r="E17" s="125"/>
      <c r="F17" s="125"/>
      <c r="G17" s="125"/>
      <c r="H17" s="125"/>
      <c r="I17" s="125"/>
    </row>
    <row r="18" spans="1:9" ht="19.5" customHeight="1" x14ac:dyDescent="0.25">
      <c r="A18" s="126" t="s">
        <v>15</v>
      </c>
      <c r="B18" s="126"/>
      <c r="C18" s="126"/>
      <c r="D18" s="126"/>
      <c r="E18" s="126"/>
      <c r="F18" s="126"/>
      <c r="G18" s="126"/>
      <c r="H18" s="126"/>
      <c r="I18" s="126"/>
    </row>
    <row r="20" spans="1:9" ht="19.5" customHeight="1" x14ac:dyDescent="0.25">
      <c r="A20" s="121" t="s">
        <v>16</v>
      </c>
      <c r="B20" s="121"/>
      <c r="C20" s="121"/>
      <c r="D20" s="121"/>
      <c r="E20" s="121"/>
      <c r="F20" s="121"/>
      <c r="G20" s="121"/>
      <c r="H20" s="121"/>
      <c r="I20" s="121"/>
    </row>
    <row r="21" spans="1:9" ht="19.5" customHeight="1" x14ac:dyDescent="0.25">
      <c r="A21" s="122" t="s">
        <v>17</v>
      </c>
      <c r="B21" s="122"/>
      <c r="C21" s="122"/>
      <c r="D21" s="122"/>
      <c r="E21" s="122"/>
      <c r="F21" s="122"/>
      <c r="G21" s="122"/>
      <c r="H21" s="122"/>
      <c r="I21" s="122"/>
    </row>
    <row r="22" spans="1:9" ht="19.5" customHeight="1" x14ac:dyDescent="0.25">
      <c r="A22" s="122" t="s">
        <v>18</v>
      </c>
      <c r="B22" s="122"/>
      <c r="C22" s="122"/>
      <c r="D22" s="122"/>
      <c r="E22" s="122"/>
      <c r="F22" s="122"/>
      <c r="G22" s="122"/>
      <c r="H22" s="122"/>
      <c r="I22" s="122"/>
    </row>
    <row r="23" spans="1:9" ht="19.5" customHeight="1" x14ac:dyDescent="0.25">
      <c r="A23" s="122" t="s">
        <v>19</v>
      </c>
      <c r="B23" s="122"/>
      <c r="C23" s="122"/>
      <c r="D23" s="122"/>
      <c r="E23" s="122"/>
      <c r="F23" s="122"/>
      <c r="G23" s="122"/>
      <c r="H23" s="122"/>
      <c r="I23" s="122"/>
    </row>
    <row r="24" spans="1:9" ht="19.5" customHeight="1" x14ac:dyDescent="0.25">
      <c r="A24" s="122" t="s">
        <v>20</v>
      </c>
      <c r="B24" s="122"/>
      <c r="C24" s="122"/>
      <c r="D24" s="122"/>
      <c r="E24" s="122"/>
      <c r="F24" s="122"/>
      <c r="G24" s="122"/>
      <c r="H24" s="122"/>
      <c r="I24" s="122"/>
    </row>
    <row r="25" spans="1:9" ht="19.5" customHeight="1" x14ac:dyDescent="0.25">
      <c r="A25" s="122" t="s">
        <v>21</v>
      </c>
      <c r="B25" s="122"/>
      <c r="C25" s="122"/>
      <c r="D25" s="122"/>
      <c r="E25" s="122"/>
      <c r="F25" s="122"/>
      <c r="G25" s="122"/>
      <c r="H25" s="122"/>
      <c r="I25" s="122"/>
    </row>
    <row r="26" spans="1:9" ht="19.5" customHeight="1" x14ac:dyDescent="0.25">
      <c r="A26" s="122" t="s">
        <v>22</v>
      </c>
      <c r="B26" s="122"/>
      <c r="C26" s="122"/>
      <c r="D26" s="122"/>
      <c r="E26" s="122"/>
      <c r="F26" s="122"/>
      <c r="G26" s="122"/>
      <c r="H26" s="122"/>
      <c r="I26" s="122"/>
    </row>
    <row r="28" spans="1:9" ht="19.5" customHeight="1" x14ac:dyDescent="0.25">
      <c r="A28" s="121" t="s">
        <v>23</v>
      </c>
      <c r="B28" s="121"/>
      <c r="C28" s="121"/>
      <c r="D28" s="121"/>
      <c r="E28" s="121"/>
      <c r="F28" s="121"/>
      <c r="G28" s="121"/>
      <c r="H28" s="121"/>
      <c r="I28" s="121"/>
    </row>
    <row r="29" spans="1:9" ht="19.5" customHeight="1" x14ac:dyDescent="0.25">
      <c r="A29" s="122" t="s">
        <v>24</v>
      </c>
      <c r="B29" s="122"/>
      <c r="C29" s="122"/>
      <c r="D29" s="122"/>
      <c r="E29" s="122"/>
      <c r="F29" s="122"/>
      <c r="G29" s="122"/>
      <c r="H29" s="122"/>
      <c r="I29" s="122"/>
    </row>
    <row r="30" spans="1:9" ht="19.5" customHeight="1" x14ac:dyDescent="0.25">
      <c r="A30" s="122" t="s">
        <v>25</v>
      </c>
      <c r="B30" s="122"/>
      <c r="C30" s="122"/>
      <c r="D30" s="122"/>
      <c r="E30" s="122"/>
      <c r="F30" s="122"/>
      <c r="G30" s="122"/>
      <c r="H30" s="122"/>
      <c r="I30" s="122"/>
    </row>
    <row r="31" spans="1:9" ht="19.5" customHeight="1" x14ac:dyDescent="0.25">
      <c r="A31" s="122" t="s">
        <v>26</v>
      </c>
      <c r="B31" s="122"/>
      <c r="C31" s="122"/>
      <c r="D31" s="122"/>
      <c r="E31" s="122"/>
      <c r="F31" s="122"/>
      <c r="G31" s="122"/>
      <c r="H31" s="122"/>
      <c r="I31" s="122"/>
    </row>
    <row r="32" spans="1:9" ht="30" customHeight="1" x14ac:dyDescent="0.25">
      <c r="A32" s="122" t="s">
        <v>27</v>
      </c>
      <c r="B32" s="122"/>
      <c r="C32" s="122"/>
      <c r="D32" s="122"/>
      <c r="E32" s="122"/>
      <c r="F32" s="122"/>
      <c r="G32" s="122"/>
      <c r="H32" s="122"/>
      <c r="I32" s="122"/>
    </row>
    <row r="33" spans="1:9" ht="30" customHeight="1" x14ac:dyDescent="0.25">
      <c r="A33" s="122" t="s">
        <v>28</v>
      </c>
      <c r="B33" s="122"/>
      <c r="C33" s="122"/>
      <c r="D33" s="122"/>
      <c r="E33" s="122"/>
      <c r="F33" s="122"/>
      <c r="G33" s="122"/>
      <c r="H33" s="122"/>
      <c r="I33" s="122"/>
    </row>
  </sheetData>
  <mergeCells count="29">
    <mergeCell ref="A30:I30"/>
    <mergeCell ref="A31:I31"/>
    <mergeCell ref="A32:I32"/>
    <mergeCell ref="A33:I33"/>
    <mergeCell ref="A24:I24"/>
    <mergeCell ref="A25:I25"/>
    <mergeCell ref="A26:I26"/>
    <mergeCell ref="A28:I28"/>
    <mergeCell ref="A29:I29"/>
    <mergeCell ref="A18:I18"/>
    <mergeCell ref="A20:I20"/>
    <mergeCell ref="A21:I21"/>
    <mergeCell ref="A22:I22"/>
    <mergeCell ref="A23:I23"/>
    <mergeCell ref="A12:I12"/>
    <mergeCell ref="A14:I14"/>
    <mergeCell ref="A15:I15"/>
    <mergeCell ref="A16:I16"/>
    <mergeCell ref="A17:I17"/>
    <mergeCell ref="A7:I7"/>
    <mergeCell ref="A8:I8"/>
    <mergeCell ref="A9:I9"/>
    <mergeCell ref="A10:I10"/>
    <mergeCell ref="A11:I11"/>
    <mergeCell ref="A1:J1"/>
    <mergeCell ref="A2:J2"/>
    <mergeCell ref="A3:I3"/>
    <mergeCell ref="A4:I4"/>
    <mergeCell ref="A6:I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showGridLines="0" topLeftCell="A5" zoomScaleNormal="100" workbookViewId="0">
      <selection activeCell="G13" sqref="G13"/>
    </sheetView>
  </sheetViews>
  <sheetFormatPr defaultColWidth="8.7109375" defaultRowHeight="15" x14ac:dyDescent="0.25"/>
  <cols>
    <col min="1" max="1" width="22" customWidth="1"/>
    <col min="2" max="2" width="20" customWidth="1"/>
    <col min="3" max="3" width="22" customWidth="1"/>
    <col min="4" max="4" width="16" customWidth="1"/>
    <col min="5" max="5" width="12" customWidth="1"/>
    <col min="6" max="8" width="14" customWidth="1"/>
  </cols>
  <sheetData>
    <row r="1" spans="1:10" ht="27.75" customHeight="1" x14ac:dyDescent="0.25">
      <c r="A1" s="14" t="s">
        <v>29</v>
      </c>
      <c r="B1" s="14"/>
      <c r="C1" s="14"/>
      <c r="D1" s="14"/>
      <c r="E1" s="14"/>
      <c r="F1" s="14"/>
      <c r="G1" s="14"/>
      <c r="H1" s="14"/>
      <c r="I1" s="15"/>
      <c r="J1" s="15"/>
    </row>
    <row r="2" spans="1:10" ht="15" customHeight="1" x14ac:dyDescent="0.25">
      <c r="A2" s="13" t="s">
        <v>30</v>
      </c>
      <c r="B2" s="13"/>
      <c r="C2" s="13"/>
      <c r="D2" s="13"/>
      <c r="E2" s="13"/>
      <c r="F2" s="13"/>
      <c r="G2" s="13"/>
      <c r="H2" s="13"/>
      <c r="I2" s="13"/>
      <c r="J2" s="13"/>
    </row>
    <row r="4" spans="1:10" ht="30" customHeight="1" x14ac:dyDescent="0.25">
      <c r="A4" s="12" t="s">
        <v>31</v>
      </c>
      <c r="B4" s="12"/>
      <c r="C4" s="11" t="s">
        <v>32</v>
      </c>
      <c r="D4" s="11"/>
      <c r="E4" s="10" t="s">
        <v>33</v>
      </c>
      <c r="F4" s="10"/>
      <c r="G4" s="9" t="s">
        <v>34</v>
      </c>
      <c r="H4" s="9"/>
    </row>
    <row r="5" spans="1:10" ht="18" customHeight="1" x14ac:dyDescent="0.25">
      <c r="A5" s="8" t="s">
        <v>35</v>
      </c>
      <c r="B5" s="8"/>
      <c r="C5" s="7" t="s">
        <v>36</v>
      </c>
      <c r="D5" s="7"/>
      <c r="E5" s="6" t="s">
        <v>37</v>
      </c>
      <c r="F5" s="6"/>
      <c r="G5" s="5" t="s">
        <v>38</v>
      </c>
      <c r="H5" s="5"/>
    </row>
    <row r="6" spans="1:10" ht="18" customHeight="1" x14ac:dyDescent="0.25">
      <c r="A6" s="4" t="s">
        <v>39</v>
      </c>
      <c r="B6" s="4"/>
      <c r="C6" s="3" t="s">
        <v>40</v>
      </c>
      <c r="D6" s="3"/>
      <c r="E6" s="2" t="s">
        <v>41</v>
      </c>
      <c r="F6" s="2"/>
      <c r="G6" s="1" t="s">
        <v>42</v>
      </c>
      <c r="H6" s="1"/>
    </row>
    <row r="7" spans="1:10" ht="18" customHeight="1" x14ac:dyDescent="0.25">
      <c r="A7" s="113"/>
      <c r="B7" s="113"/>
      <c r="C7" s="114"/>
      <c r="D7" s="114"/>
      <c r="E7" s="115"/>
      <c r="F7" s="115"/>
      <c r="G7" s="116"/>
      <c r="H7" s="116"/>
    </row>
    <row r="9" spans="1:10" ht="19.5" customHeight="1" x14ac:dyDescent="0.25">
      <c r="A9" s="16" t="s">
        <v>43</v>
      </c>
    </row>
    <row r="10" spans="1:10" ht="15" customHeight="1" x14ac:dyDescent="0.25">
      <c r="A10" s="17" t="s">
        <v>44</v>
      </c>
      <c r="B10" s="17" t="s">
        <v>45</v>
      </c>
      <c r="C10" s="17" t="s">
        <v>46</v>
      </c>
      <c r="D10" s="17" t="s">
        <v>47</v>
      </c>
      <c r="E10" s="17" t="s">
        <v>48</v>
      </c>
      <c r="F10" s="17" t="s">
        <v>49</v>
      </c>
    </row>
    <row r="11" spans="1:10" ht="15" customHeight="1" x14ac:dyDescent="0.25">
      <c r="A11" s="18" t="s">
        <v>50</v>
      </c>
      <c r="B11" s="19">
        <v>142.30000000000001</v>
      </c>
      <c r="C11" s="19">
        <v>102.8</v>
      </c>
      <c r="D11" s="19">
        <f>B11-C11</f>
        <v>39.500000000000014</v>
      </c>
      <c r="E11" s="20">
        <f>D11/B11</f>
        <v>0.27758257203092068</v>
      </c>
      <c r="F11" s="21" t="s">
        <v>51</v>
      </c>
    </row>
    <row r="12" spans="1:10" ht="15" customHeight="1" x14ac:dyDescent="0.25">
      <c r="A12" s="22" t="s">
        <v>52</v>
      </c>
      <c r="B12" s="23">
        <v>98.7</v>
      </c>
      <c r="C12" s="23">
        <v>76.400000000000006</v>
      </c>
      <c r="D12" s="23">
        <f>B12-C12</f>
        <v>22.299999999999997</v>
      </c>
      <c r="E12" s="24">
        <f>D12/B12</f>
        <v>0.22593718338399185</v>
      </c>
      <c r="F12" s="25" t="s">
        <v>51</v>
      </c>
    </row>
    <row r="13" spans="1:10" ht="15" customHeight="1" x14ac:dyDescent="0.25">
      <c r="A13" s="18" t="s">
        <v>53</v>
      </c>
      <c r="B13" s="19">
        <v>187.6</v>
      </c>
      <c r="C13" s="19">
        <v>149</v>
      </c>
      <c r="D13" s="19">
        <f>B13-C13</f>
        <v>38.599999999999994</v>
      </c>
      <c r="E13" s="20">
        <f>D13/B13</f>
        <v>0.20575692963752662</v>
      </c>
      <c r="F13" s="21" t="s">
        <v>51</v>
      </c>
    </row>
    <row r="14" spans="1:10" ht="15" customHeight="1" x14ac:dyDescent="0.25">
      <c r="A14" s="26" t="s">
        <v>54</v>
      </c>
      <c r="B14" s="27">
        <v>428.6</v>
      </c>
      <c r="C14" s="27">
        <v>328.2</v>
      </c>
      <c r="D14" s="27">
        <f>B14-C14</f>
        <v>100.40000000000003</v>
      </c>
      <c r="E14" s="28">
        <f>D14/B14</f>
        <v>0.23425104993000473</v>
      </c>
      <c r="F14" s="17"/>
    </row>
    <row r="16" spans="1:10" ht="30" customHeight="1" x14ac:dyDescent="0.25">
      <c r="A16" s="117" t="s">
        <v>55</v>
      </c>
      <c r="B16" s="117"/>
      <c r="C16" s="117"/>
      <c r="D16" s="117"/>
      <c r="E16" s="117"/>
      <c r="F16" s="117"/>
      <c r="G16" s="117"/>
      <c r="H16" s="117"/>
    </row>
  </sheetData>
  <mergeCells count="19">
    <mergeCell ref="A7:B7"/>
    <mergeCell ref="C7:D7"/>
    <mergeCell ref="E7:F7"/>
    <mergeCell ref="G7:H7"/>
    <mergeCell ref="A16:H16"/>
    <mergeCell ref="A5:B5"/>
    <mergeCell ref="C5:D5"/>
    <mergeCell ref="E5:F5"/>
    <mergeCell ref="G5:H5"/>
    <mergeCell ref="A6:B6"/>
    <mergeCell ref="C6:D6"/>
    <mergeCell ref="E6:F6"/>
    <mergeCell ref="G6:H6"/>
    <mergeCell ref="A1:H1"/>
    <mergeCell ref="A2:J2"/>
    <mergeCell ref="A4:B4"/>
    <mergeCell ref="C4:D4"/>
    <mergeCell ref="E4:F4"/>
    <mergeCell ref="G4:H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showGridLines="0" zoomScaleNormal="100" workbookViewId="0">
      <selection activeCell="N15" sqref="N15"/>
    </sheetView>
  </sheetViews>
  <sheetFormatPr defaultColWidth="8.7109375" defaultRowHeight="15" x14ac:dyDescent="0.25"/>
  <cols>
    <col min="1" max="1" width="22" customWidth="1"/>
    <col min="2" max="14" width="10" customWidth="1"/>
  </cols>
  <sheetData>
    <row r="1" spans="1:14" ht="27.75" customHeight="1" x14ac:dyDescent="0.25">
      <c r="A1" s="118" t="s">
        <v>56</v>
      </c>
      <c r="B1" s="118"/>
      <c r="C1" s="118"/>
      <c r="D1" s="118"/>
      <c r="E1" s="118"/>
      <c r="F1" s="118"/>
      <c r="G1" s="118"/>
      <c r="H1" s="118"/>
      <c r="I1" s="118"/>
      <c r="J1" s="118"/>
    </row>
    <row r="2" spans="1:14" ht="15" customHeight="1" x14ac:dyDescent="0.25">
      <c r="A2" s="127" t="s">
        <v>57</v>
      </c>
      <c r="B2" s="127"/>
      <c r="C2" s="127"/>
      <c r="D2" s="127"/>
      <c r="E2" s="127"/>
      <c r="F2" s="127"/>
      <c r="G2" s="127"/>
      <c r="H2" s="127"/>
      <c r="I2" s="127"/>
      <c r="J2" s="127"/>
    </row>
    <row r="4" spans="1:14" ht="18" customHeight="1" x14ac:dyDescent="0.25">
      <c r="A4" s="16" t="s">
        <v>58</v>
      </c>
    </row>
    <row r="5" spans="1:14" ht="15" customHeight="1" x14ac:dyDescent="0.25">
      <c r="A5" s="30" t="s">
        <v>59</v>
      </c>
      <c r="B5" s="30" t="s">
        <v>60</v>
      </c>
      <c r="C5" s="30" t="s">
        <v>61</v>
      </c>
      <c r="D5" s="30" t="s">
        <v>62</v>
      </c>
      <c r="E5" s="30" t="s">
        <v>63</v>
      </c>
      <c r="F5" s="30" t="s">
        <v>64</v>
      </c>
      <c r="G5" s="30" t="s">
        <v>65</v>
      </c>
      <c r="H5" s="30" t="s">
        <v>66</v>
      </c>
      <c r="I5" s="30" t="s">
        <v>67</v>
      </c>
      <c r="J5" s="30" t="s">
        <v>68</v>
      </c>
      <c r="K5" s="30" t="s">
        <v>69</v>
      </c>
      <c r="L5" s="30" t="s">
        <v>70</v>
      </c>
      <c r="M5" s="30" t="s">
        <v>71</v>
      </c>
      <c r="N5" s="30" t="s">
        <v>72</v>
      </c>
    </row>
    <row r="6" spans="1:14" ht="15.75" customHeight="1" x14ac:dyDescent="0.25">
      <c r="A6" s="31" t="s">
        <v>73</v>
      </c>
    </row>
    <row r="7" spans="1:14" ht="15" customHeight="1" x14ac:dyDescent="0.25">
      <c r="A7" s="32" t="s">
        <v>74</v>
      </c>
      <c r="B7" s="33">
        <v>2335</v>
      </c>
      <c r="C7" s="33">
        <v>860</v>
      </c>
      <c r="D7" s="33">
        <v>1460</v>
      </c>
      <c r="E7" s="33">
        <v>1336</v>
      </c>
      <c r="F7" s="33">
        <v>2568</v>
      </c>
      <c r="G7" s="33">
        <v>2424</v>
      </c>
      <c r="H7" s="33">
        <v>2941</v>
      </c>
      <c r="I7" s="33">
        <v>1009</v>
      </c>
      <c r="J7" s="33">
        <v>1813</v>
      </c>
      <c r="K7" s="33">
        <v>872</v>
      </c>
      <c r="L7" s="33">
        <v>1325</v>
      </c>
      <c r="M7" s="33">
        <v>2013</v>
      </c>
      <c r="N7" s="34">
        <f t="shared" ref="N7:N12" si="0">SUM(B7:M7)</f>
        <v>20956</v>
      </c>
    </row>
    <row r="8" spans="1:14" ht="15" customHeight="1" x14ac:dyDescent="0.25">
      <c r="A8" s="32" t="s">
        <v>75</v>
      </c>
      <c r="B8" s="33">
        <v>864</v>
      </c>
      <c r="C8" s="33">
        <v>1277</v>
      </c>
      <c r="D8" s="33">
        <v>2360</v>
      </c>
      <c r="E8" s="33">
        <v>2108</v>
      </c>
      <c r="F8" s="33">
        <v>1329</v>
      </c>
      <c r="G8" s="33">
        <v>2214</v>
      </c>
      <c r="H8" s="33">
        <v>2743</v>
      </c>
      <c r="I8" s="33">
        <v>816</v>
      </c>
      <c r="J8" s="33">
        <v>2734</v>
      </c>
      <c r="K8" s="33">
        <v>2476</v>
      </c>
      <c r="L8" s="33">
        <v>1617</v>
      </c>
      <c r="M8" s="33">
        <v>1173</v>
      </c>
      <c r="N8" s="34">
        <f t="shared" si="0"/>
        <v>21711</v>
      </c>
    </row>
    <row r="9" spans="1:14" ht="15" customHeight="1" x14ac:dyDescent="0.25">
      <c r="A9" s="32" t="s">
        <v>76</v>
      </c>
      <c r="B9" s="33">
        <v>3097</v>
      </c>
      <c r="C9" s="33">
        <v>1608</v>
      </c>
      <c r="D9" s="33">
        <v>1023</v>
      </c>
      <c r="E9" s="33">
        <v>1032</v>
      </c>
      <c r="F9" s="33">
        <v>2834</v>
      </c>
      <c r="G9" s="33">
        <v>2249</v>
      </c>
      <c r="H9" s="33">
        <v>2737</v>
      </c>
      <c r="I9" s="33">
        <v>2551</v>
      </c>
      <c r="J9" s="33">
        <v>2087</v>
      </c>
      <c r="K9" s="33">
        <v>3135</v>
      </c>
      <c r="L9" s="33">
        <v>1708</v>
      </c>
      <c r="M9" s="33">
        <v>2125</v>
      </c>
      <c r="N9" s="34">
        <f t="shared" si="0"/>
        <v>26186</v>
      </c>
    </row>
    <row r="10" spans="1:14" ht="15" customHeight="1" x14ac:dyDescent="0.25">
      <c r="A10" s="32" t="s">
        <v>77</v>
      </c>
      <c r="B10" s="33">
        <v>2791</v>
      </c>
      <c r="C10" s="33">
        <v>2284</v>
      </c>
      <c r="D10" s="33">
        <v>2868</v>
      </c>
      <c r="E10" s="33">
        <v>2186</v>
      </c>
      <c r="F10" s="33">
        <v>2491</v>
      </c>
      <c r="G10" s="33">
        <v>910</v>
      </c>
      <c r="H10" s="33">
        <v>1347</v>
      </c>
      <c r="I10" s="33">
        <v>1495</v>
      </c>
      <c r="J10" s="33">
        <v>992</v>
      </c>
      <c r="K10" s="33">
        <v>1359</v>
      </c>
      <c r="L10" s="33">
        <v>1042</v>
      </c>
      <c r="M10" s="33">
        <v>1467</v>
      </c>
      <c r="N10" s="34">
        <f t="shared" si="0"/>
        <v>21232</v>
      </c>
    </row>
    <row r="11" spans="1:14" ht="15" customHeight="1" x14ac:dyDescent="0.25">
      <c r="A11" s="32" t="s">
        <v>78</v>
      </c>
      <c r="B11" s="33">
        <v>2326</v>
      </c>
      <c r="C11" s="33">
        <v>1676</v>
      </c>
      <c r="D11" s="33">
        <v>1688</v>
      </c>
      <c r="E11" s="33">
        <v>1303</v>
      </c>
      <c r="F11" s="33">
        <v>1441</v>
      </c>
      <c r="G11" s="33">
        <v>3048</v>
      </c>
      <c r="H11" s="33">
        <v>2355</v>
      </c>
      <c r="I11" s="33">
        <v>2262</v>
      </c>
      <c r="J11" s="33">
        <v>1211</v>
      </c>
      <c r="K11" s="33">
        <v>2550</v>
      </c>
      <c r="L11" s="33">
        <v>1192</v>
      </c>
      <c r="M11" s="33">
        <v>1711</v>
      </c>
      <c r="N11" s="34">
        <f t="shared" si="0"/>
        <v>22763</v>
      </c>
    </row>
    <row r="12" spans="1:14" ht="15" customHeight="1" x14ac:dyDescent="0.25">
      <c r="A12" s="32" t="s">
        <v>79</v>
      </c>
      <c r="B12" s="33">
        <v>3175</v>
      </c>
      <c r="C12" s="33">
        <v>2336</v>
      </c>
      <c r="D12" s="33">
        <v>2137</v>
      </c>
      <c r="E12" s="33">
        <v>2443</v>
      </c>
      <c r="F12" s="33">
        <v>2823</v>
      </c>
      <c r="G12" s="33">
        <v>2662</v>
      </c>
      <c r="H12" s="33">
        <v>1350</v>
      </c>
      <c r="I12" s="33">
        <v>877</v>
      </c>
      <c r="J12" s="33">
        <v>1557</v>
      </c>
      <c r="K12" s="33">
        <v>1443</v>
      </c>
      <c r="L12" s="33">
        <v>1306</v>
      </c>
      <c r="M12" s="33">
        <v>3063</v>
      </c>
      <c r="N12" s="34">
        <f t="shared" si="0"/>
        <v>25172</v>
      </c>
    </row>
    <row r="14" spans="1:14" ht="15.75" customHeight="1" x14ac:dyDescent="0.25">
      <c r="A14" s="35" t="s">
        <v>80</v>
      </c>
      <c r="B14" s="36" t="s">
        <v>60</v>
      </c>
      <c r="C14" s="36" t="s">
        <v>61</v>
      </c>
      <c r="D14" s="36" t="s">
        <v>62</v>
      </c>
      <c r="E14" s="36" t="s">
        <v>63</v>
      </c>
      <c r="F14" s="36" t="s">
        <v>64</v>
      </c>
      <c r="G14" s="36" t="s">
        <v>65</v>
      </c>
      <c r="H14" s="36" t="s">
        <v>66</v>
      </c>
      <c r="I14" s="36" t="s">
        <v>67</v>
      </c>
      <c r="J14" s="36" t="s">
        <v>68</v>
      </c>
      <c r="K14" s="36" t="s">
        <v>69</v>
      </c>
      <c r="L14" s="36" t="s">
        <v>70</v>
      </c>
      <c r="M14" s="36" t="s">
        <v>71</v>
      </c>
      <c r="N14" s="36" t="s">
        <v>72</v>
      </c>
    </row>
    <row r="15" spans="1:14" ht="15" customHeight="1" x14ac:dyDescent="0.25">
      <c r="A15" s="37" t="s">
        <v>74</v>
      </c>
      <c r="B15" s="38">
        <f>B7*(1+0.095)</f>
        <v>2556.8249999999998</v>
      </c>
      <c r="C15" s="38">
        <f>C7*(1+-0.017)</f>
        <v>845.38</v>
      </c>
      <c r="D15" s="38">
        <f>D7*(1+0.051)</f>
        <v>1534.4599999999998</v>
      </c>
      <c r="E15" s="38">
        <f>E7*(1+-0.001)</f>
        <v>1334.664</v>
      </c>
      <c r="F15" s="38">
        <f>F7*(1+0.103)</f>
        <v>2832.5039999999999</v>
      </c>
      <c r="G15" s="38">
        <f>G7*(1+0.012)</f>
        <v>2453.0880000000002</v>
      </c>
      <c r="H15" s="38">
        <f>H7*(1+-0.027)</f>
        <v>2861.5929999999998</v>
      </c>
      <c r="I15" s="38">
        <f>I7*(1+-0.031)</f>
        <v>977.721</v>
      </c>
      <c r="J15" s="38">
        <f>J7*(1+0.032)</f>
        <v>1871.0160000000001</v>
      </c>
      <c r="K15" s="38">
        <f>K7*(1+-0.027)</f>
        <v>848.45600000000002</v>
      </c>
      <c r="L15" s="38">
        <f>L7*(1+0.037)</f>
        <v>1374.0249999999999</v>
      </c>
      <c r="M15" s="38">
        <f>M7*(1+0.1)</f>
        <v>2214.3000000000002</v>
      </c>
      <c r="N15" s="39">
        <f t="shared" ref="N15:N20" si="1">SUM(B15:M15)</f>
        <v>21704.031999999999</v>
      </c>
    </row>
    <row r="16" spans="1:14" ht="15" customHeight="1" x14ac:dyDescent="0.25">
      <c r="A16" s="37" t="s">
        <v>75</v>
      </c>
      <c r="B16" s="38">
        <f>B8*(1+0)</f>
        <v>864</v>
      </c>
      <c r="C16" s="38">
        <f>C8*(1+-0.036)</f>
        <v>1231.028</v>
      </c>
      <c r="D16" s="38">
        <f>D8*(1+0.12)</f>
        <v>2643.2000000000003</v>
      </c>
      <c r="E16" s="38">
        <f>E8*(1+0.022)</f>
        <v>2154.3760000000002</v>
      </c>
      <c r="F16" s="38">
        <f>F8*(1+-0.062)</f>
        <v>1246.6019999999999</v>
      </c>
      <c r="G16" s="38">
        <f>G8*(1+-0.071)</f>
        <v>2056.806</v>
      </c>
      <c r="H16" s="38">
        <f>H8*(1+-0.058)</f>
        <v>2583.9059999999999</v>
      </c>
      <c r="I16" s="38">
        <f>I8*(1+0.045)</f>
        <v>852.71999999999991</v>
      </c>
      <c r="J16" s="38">
        <f>J8*(1+0.078)</f>
        <v>2947.2520000000004</v>
      </c>
      <c r="K16" s="38">
        <f>K8*(1+0.004)</f>
        <v>2485.904</v>
      </c>
      <c r="L16" s="38">
        <f>L8*(1+-0.067)</f>
        <v>1508.6610000000001</v>
      </c>
      <c r="M16" s="38">
        <f>M8*(1+-0.004)</f>
        <v>1168.308</v>
      </c>
      <c r="N16" s="39">
        <f t="shared" si="1"/>
        <v>21742.762999999999</v>
      </c>
    </row>
    <row r="17" spans="1:14" ht="15" customHeight="1" x14ac:dyDescent="0.25">
      <c r="A17" s="37" t="s">
        <v>76</v>
      </c>
      <c r="B17" s="38">
        <f>B9*(1+0.119)</f>
        <v>3465.5430000000001</v>
      </c>
      <c r="C17" s="38">
        <f>C9*(1+0.026)</f>
        <v>1649.808</v>
      </c>
      <c r="D17" s="38">
        <f>D9*(1+0.114)</f>
        <v>1139.6220000000001</v>
      </c>
      <c r="E17" s="38">
        <f>E9*(1+0.092)</f>
        <v>1126.9440000000002</v>
      </c>
      <c r="F17" s="38">
        <f>F9*(1+-0.078)</f>
        <v>2612.9480000000003</v>
      </c>
      <c r="G17" s="38">
        <f>G9*(1+0.064)</f>
        <v>2392.9360000000001</v>
      </c>
      <c r="H17" s="38">
        <f>H9*(1+0.056)</f>
        <v>2890.2719999999999</v>
      </c>
      <c r="I17" s="38">
        <f>I9*(1+0.027)</f>
        <v>2619.877</v>
      </c>
      <c r="J17" s="38">
        <f>J9*(1+-0.027)</f>
        <v>2030.6509999999998</v>
      </c>
      <c r="K17" s="38">
        <f>K9*(1+0.048)</f>
        <v>3285.48</v>
      </c>
      <c r="L17" s="38">
        <f>L9*(1+-0.058)</f>
        <v>1608.9359999999999</v>
      </c>
      <c r="M17" s="38">
        <f>M9*(1+0.007)</f>
        <v>2139.875</v>
      </c>
      <c r="N17" s="39">
        <f t="shared" si="1"/>
        <v>26962.892000000003</v>
      </c>
    </row>
    <row r="18" spans="1:14" ht="15" customHeight="1" x14ac:dyDescent="0.25">
      <c r="A18" s="37" t="s">
        <v>77</v>
      </c>
      <c r="B18" s="38">
        <f>B10*(1+0.011)</f>
        <v>2821.7009999999996</v>
      </c>
      <c r="C18" s="38">
        <f>C10*(1+0.111)</f>
        <v>2537.5239999999999</v>
      </c>
      <c r="D18" s="38">
        <f>D10*(1+0.095)</f>
        <v>3140.46</v>
      </c>
      <c r="E18" s="38">
        <f>E10*(1+-0.027)</f>
        <v>2126.9780000000001</v>
      </c>
      <c r="F18" s="38">
        <f>F10*(1+0.02)</f>
        <v>2540.8200000000002</v>
      </c>
      <c r="G18" s="38">
        <f>G10*(1+-0.044)</f>
        <v>869.95999999999992</v>
      </c>
      <c r="H18" s="38">
        <f>H10*(1+0.103)</f>
        <v>1485.741</v>
      </c>
      <c r="I18" s="38">
        <f>I10*(1+0.094)</f>
        <v>1635.5300000000002</v>
      </c>
      <c r="J18" s="38">
        <f>J10*(1+-0.02)</f>
        <v>972.16</v>
      </c>
      <c r="K18" s="38">
        <f>K10*(1+0.048)</f>
        <v>1424.232</v>
      </c>
      <c r="L18" s="38">
        <f>L10*(1+0.042)</f>
        <v>1085.7640000000001</v>
      </c>
      <c r="M18" s="38">
        <f>M10*(1+-0.049)</f>
        <v>1395.117</v>
      </c>
      <c r="N18" s="39">
        <f t="shared" si="1"/>
        <v>22035.986999999997</v>
      </c>
    </row>
    <row r="19" spans="1:14" ht="15" customHeight="1" x14ac:dyDescent="0.25">
      <c r="A19" s="37" t="s">
        <v>78</v>
      </c>
      <c r="B19" s="38">
        <f>B11*(1+0.073)</f>
        <v>2495.7979999999998</v>
      </c>
      <c r="C19" s="38">
        <f>C11*(1+0.028)</f>
        <v>1722.9280000000001</v>
      </c>
      <c r="D19" s="38">
        <f>D11*(1+0.076)</f>
        <v>1816.288</v>
      </c>
      <c r="E19" s="38">
        <f>E11*(1+0.026)</f>
        <v>1336.8779999999999</v>
      </c>
      <c r="F19" s="38">
        <f>F11*(1+-0.08)</f>
        <v>1325.72</v>
      </c>
      <c r="G19" s="38">
        <f>G11*(1+-0.015)</f>
        <v>3002.2799999999997</v>
      </c>
      <c r="H19" s="38">
        <f>H11*(1+-0.076)</f>
        <v>2176.02</v>
      </c>
      <c r="I19" s="38">
        <f>I11*(1+0.106)</f>
        <v>2501.7720000000004</v>
      </c>
      <c r="J19" s="38">
        <f>J11*(1+0.096)</f>
        <v>1327.2560000000001</v>
      </c>
      <c r="K19" s="38">
        <f>K11*(1+0.086)</f>
        <v>2769.3</v>
      </c>
      <c r="L19" s="38">
        <f>L11*(1+-0.018)</f>
        <v>1170.5439999999999</v>
      </c>
      <c r="M19" s="38">
        <f>M11*(1+-0.068)</f>
        <v>1594.6519999999998</v>
      </c>
      <c r="N19" s="39">
        <f t="shared" si="1"/>
        <v>23239.435999999998</v>
      </c>
    </row>
    <row r="20" spans="1:14" ht="15" customHeight="1" x14ac:dyDescent="0.25">
      <c r="A20" s="37" t="s">
        <v>79</v>
      </c>
      <c r="B20" s="38">
        <f>B12*(1+0.096)</f>
        <v>3479.8</v>
      </c>
      <c r="C20" s="38">
        <f>C12*(1+0.109)</f>
        <v>2590.6239999999998</v>
      </c>
      <c r="D20" s="38">
        <f>D12*(1+-0.063)</f>
        <v>2002.3690000000001</v>
      </c>
      <c r="E20" s="38">
        <f>E12*(1+0.017)</f>
        <v>2484.5309999999999</v>
      </c>
      <c r="F20" s="38">
        <f>F12*(1+-0.066)</f>
        <v>2636.6819999999998</v>
      </c>
      <c r="G20" s="38">
        <f>G12*(1+0.072)</f>
        <v>2853.6640000000002</v>
      </c>
      <c r="H20" s="38">
        <f>H12*(1+0.073)</f>
        <v>1448.55</v>
      </c>
      <c r="I20" s="38">
        <f>I12*(1+-0.054)</f>
        <v>829.64199999999994</v>
      </c>
      <c r="J20" s="38">
        <f>J12*(1+0.015)</f>
        <v>1580.3549999999998</v>
      </c>
      <c r="K20" s="38">
        <f>K12*(1+0.03)</f>
        <v>1486.29</v>
      </c>
      <c r="L20" s="38">
        <f>L12*(1+-0.027)</f>
        <v>1270.7380000000001</v>
      </c>
      <c r="M20" s="38">
        <f>M12*(1+0.094)</f>
        <v>3350.9220000000005</v>
      </c>
      <c r="N20" s="39">
        <f t="shared" si="1"/>
        <v>26014.167000000001</v>
      </c>
    </row>
    <row r="22" spans="1:14" ht="15.75" customHeight="1" x14ac:dyDescent="0.25">
      <c r="A22" s="31" t="s">
        <v>81</v>
      </c>
      <c r="B22" s="36" t="s">
        <v>60</v>
      </c>
      <c r="C22" s="36" t="s">
        <v>61</v>
      </c>
      <c r="D22" s="36" t="s">
        <v>62</v>
      </c>
      <c r="E22" s="36" t="s">
        <v>63</v>
      </c>
      <c r="F22" s="36" t="s">
        <v>64</v>
      </c>
      <c r="G22" s="36" t="s">
        <v>65</v>
      </c>
      <c r="H22" s="36" t="s">
        <v>66</v>
      </c>
      <c r="I22" s="36" t="s">
        <v>67</v>
      </c>
      <c r="J22" s="36" t="s">
        <v>68</v>
      </c>
      <c r="K22" s="36" t="s">
        <v>69</v>
      </c>
      <c r="L22" s="36" t="s">
        <v>70</v>
      </c>
      <c r="M22" s="36" t="s">
        <v>71</v>
      </c>
      <c r="N22" s="36" t="s">
        <v>72</v>
      </c>
    </row>
    <row r="23" spans="1:14" ht="15" customHeight="1" x14ac:dyDescent="0.25">
      <c r="A23" s="32" t="s">
        <v>74</v>
      </c>
      <c r="B23" s="40">
        <f t="shared" ref="B23:N23" si="2">B15-B7</f>
        <v>221.82499999999982</v>
      </c>
      <c r="C23" s="40">
        <f t="shared" si="2"/>
        <v>-14.620000000000005</v>
      </c>
      <c r="D23" s="40">
        <f t="shared" si="2"/>
        <v>74.459999999999809</v>
      </c>
      <c r="E23" s="40">
        <f t="shared" si="2"/>
        <v>-1.3360000000000127</v>
      </c>
      <c r="F23" s="40">
        <f t="shared" si="2"/>
        <v>264.50399999999991</v>
      </c>
      <c r="G23" s="40">
        <f t="shared" si="2"/>
        <v>29.088000000000193</v>
      </c>
      <c r="H23" s="40">
        <f t="shared" si="2"/>
        <v>-79.407000000000153</v>
      </c>
      <c r="I23" s="40">
        <f t="shared" si="2"/>
        <v>-31.278999999999996</v>
      </c>
      <c r="J23" s="40">
        <f t="shared" si="2"/>
        <v>58.016000000000076</v>
      </c>
      <c r="K23" s="40">
        <f t="shared" si="2"/>
        <v>-23.543999999999983</v>
      </c>
      <c r="L23" s="40">
        <f t="shared" si="2"/>
        <v>49.024999999999864</v>
      </c>
      <c r="M23" s="40">
        <f t="shared" si="2"/>
        <v>201.30000000000018</v>
      </c>
      <c r="N23" s="41">
        <f t="shared" si="2"/>
        <v>748.03199999999924</v>
      </c>
    </row>
    <row r="24" spans="1:14" ht="15" customHeight="1" x14ac:dyDescent="0.25">
      <c r="A24" s="32" t="s">
        <v>75</v>
      </c>
      <c r="B24" s="40">
        <f t="shared" ref="B24:N24" si="3">B16-B8</f>
        <v>0</v>
      </c>
      <c r="C24" s="40">
        <f t="shared" si="3"/>
        <v>-45.97199999999998</v>
      </c>
      <c r="D24" s="40">
        <f t="shared" si="3"/>
        <v>283.20000000000027</v>
      </c>
      <c r="E24" s="40">
        <f t="shared" si="3"/>
        <v>46.376000000000204</v>
      </c>
      <c r="F24" s="40">
        <f t="shared" si="3"/>
        <v>-82.398000000000138</v>
      </c>
      <c r="G24" s="40">
        <f t="shared" si="3"/>
        <v>-157.19399999999996</v>
      </c>
      <c r="H24" s="40">
        <f t="shared" si="3"/>
        <v>-159.09400000000005</v>
      </c>
      <c r="I24" s="40">
        <f t="shared" si="3"/>
        <v>36.719999999999914</v>
      </c>
      <c r="J24" s="40">
        <f t="shared" si="3"/>
        <v>213.25200000000041</v>
      </c>
      <c r="K24" s="40">
        <f t="shared" si="3"/>
        <v>9.9039999999999964</v>
      </c>
      <c r="L24" s="40">
        <f t="shared" si="3"/>
        <v>-108.33899999999994</v>
      </c>
      <c r="M24" s="40">
        <f t="shared" si="3"/>
        <v>-4.6920000000000073</v>
      </c>
      <c r="N24" s="41">
        <f t="shared" si="3"/>
        <v>31.76299999999901</v>
      </c>
    </row>
    <row r="25" spans="1:14" ht="15" customHeight="1" x14ac:dyDescent="0.25">
      <c r="A25" s="32" t="s">
        <v>76</v>
      </c>
      <c r="B25" s="40">
        <f t="shared" ref="B25:N25" si="4">B17-B9</f>
        <v>368.54300000000012</v>
      </c>
      <c r="C25" s="40">
        <f t="shared" si="4"/>
        <v>41.807999999999993</v>
      </c>
      <c r="D25" s="40">
        <f t="shared" si="4"/>
        <v>116.62200000000007</v>
      </c>
      <c r="E25" s="40">
        <f t="shared" si="4"/>
        <v>94.944000000000187</v>
      </c>
      <c r="F25" s="40">
        <f t="shared" si="4"/>
        <v>-221.05199999999968</v>
      </c>
      <c r="G25" s="40">
        <f t="shared" si="4"/>
        <v>143.93600000000015</v>
      </c>
      <c r="H25" s="40">
        <f t="shared" si="4"/>
        <v>153.27199999999993</v>
      </c>
      <c r="I25" s="40">
        <f t="shared" si="4"/>
        <v>68.876999999999953</v>
      </c>
      <c r="J25" s="40">
        <f t="shared" si="4"/>
        <v>-56.34900000000016</v>
      </c>
      <c r="K25" s="40">
        <f t="shared" si="4"/>
        <v>150.48000000000002</v>
      </c>
      <c r="L25" s="40">
        <f t="shared" si="4"/>
        <v>-99.064000000000078</v>
      </c>
      <c r="M25" s="40">
        <f t="shared" si="4"/>
        <v>14.875</v>
      </c>
      <c r="N25" s="41">
        <f t="shared" si="4"/>
        <v>776.89200000000346</v>
      </c>
    </row>
    <row r="26" spans="1:14" ht="15" customHeight="1" x14ac:dyDescent="0.25">
      <c r="A26" s="32" t="s">
        <v>77</v>
      </c>
      <c r="B26" s="40">
        <f t="shared" ref="B26:N26" si="5">B18-B10</f>
        <v>30.700999999999567</v>
      </c>
      <c r="C26" s="40">
        <f t="shared" si="5"/>
        <v>253.52399999999989</v>
      </c>
      <c r="D26" s="40">
        <f t="shared" si="5"/>
        <v>272.46000000000004</v>
      </c>
      <c r="E26" s="40">
        <f t="shared" si="5"/>
        <v>-59.021999999999935</v>
      </c>
      <c r="F26" s="40">
        <f t="shared" si="5"/>
        <v>49.820000000000164</v>
      </c>
      <c r="G26" s="40">
        <f t="shared" si="5"/>
        <v>-40.040000000000077</v>
      </c>
      <c r="H26" s="40">
        <f t="shared" si="5"/>
        <v>138.74099999999999</v>
      </c>
      <c r="I26" s="40">
        <f t="shared" si="5"/>
        <v>140.5300000000002</v>
      </c>
      <c r="J26" s="40">
        <f t="shared" si="5"/>
        <v>-19.840000000000032</v>
      </c>
      <c r="K26" s="40">
        <f t="shared" si="5"/>
        <v>65.231999999999971</v>
      </c>
      <c r="L26" s="40">
        <f t="shared" si="5"/>
        <v>43.764000000000124</v>
      </c>
      <c r="M26" s="40">
        <f t="shared" si="5"/>
        <v>-71.883000000000038</v>
      </c>
      <c r="N26" s="41">
        <f t="shared" si="5"/>
        <v>803.98699999999735</v>
      </c>
    </row>
    <row r="27" spans="1:14" ht="15" customHeight="1" x14ac:dyDescent="0.25">
      <c r="A27" s="32" t="s">
        <v>78</v>
      </c>
      <c r="B27" s="40">
        <f t="shared" ref="B27:N27" si="6">B19-B11</f>
        <v>169.79799999999977</v>
      </c>
      <c r="C27" s="40">
        <f t="shared" si="6"/>
        <v>46.928000000000111</v>
      </c>
      <c r="D27" s="40">
        <f t="shared" si="6"/>
        <v>128.28800000000001</v>
      </c>
      <c r="E27" s="40">
        <f t="shared" si="6"/>
        <v>33.877999999999929</v>
      </c>
      <c r="F27" s="40">
        <f t="shared" si="6"/>
        <v>-115.27999999999997</v>
      </c>
      <c r="G27" s="40">
        <f t="shared" si="6"/>
        <v>-45.720000000000255</v>
      </c>
      <c r="H27" s="40">
        <f t="shared" si="6"/>
        <v>-178.98000000000002</v>
      </c>
      <c r="I27" s="40">
        <f t="shared" si="6"/>
        <v>239.77200000000039</v>
      </c>
      <c r="J27" s="40">
        <f t="shared" si="6"/>
        <v>116.25600000000009</v>
      </c>
      <c r="K27" s="40">
        <f t="shared" si="6"/>
        <v>219.30000000000018</v>
      </c>
      <c r="L27" s="40">
        <f t="shared" si="6"/>
        <v>-21.456000000000131</v>
      </c>
      <c r="M27" s="40">
        <f t="shared" si="6"/>
        <v>-116.34800000000018</v>
      </c>
      <c r="N27" s="41">
        <f t="shared" si="6"/>
        <v>476.43599999999788</v>
      </c>
    </row>
    <row r="28" spans="1:14" ht="15" customHeight="1" x14ac:dyDescent="0.25">
      <c r="A28" s="32" t="s">
        <v>79</v>
      </c>
      <c r="B28" s="40">
        <f t="shared" ref="B28:N28" si="7">B20-B12</f>
        <v>304.80000000000018</v>
      </c>
      <c r="C28" s="40">
        <f t="shared" si="7"/>
        <v>254.6239999999998</v>
      </c>
      <c r="D28" s="40">
        <f t="shared" si="7"/>
        <v>-134.63099999999986</v>
      </c>
      <c r="E28" s="40">
        <f t="shared" si="7"/>
        <v>41.530999999999949</v>
      </c>
      <c r="F28" s="40">
        <f t="shared" si="7"/>
        <v>-186.31800000000021</v>
      </c>
      <c r="G28" s="40">
        <f t="shared" si="7"/>
        <v>191.66400000000021</v>
      </c>
      <c r="H28" s="40">
        <f t="shared" si="7"/>
        <v>98.549999999999955</v>
      </c>
      <c r="I28" s="40">
        <f t="shared" si="7"/>
        <v>-47.358000000000061</v>
      </c>
      <c r="J28" s="40">
        <f t="shared" si="7"/>
        <v>23.354999999999791</v>
      </c>
      <c r="K28" s="40">
        <f t="shared" si="7"/>
        <v>43.289999999999964</v>
      </c>
      <c r="L28" s="40">
        <f t="shared" si="7"/>
        <v>-35.261999999999944</v>
      </c>
      <c r="M28" s="40">
        <f t="shared" si="7"/>
        <v>287.92200000000048</v>
      </c>
      <c r="N28" s="41">
        <f t="shared" si="7"/>
        <v>842.16700000000128</v>
      </c>
    </row>
    <row r="30" spans="1:14" ht="15.75" customHeight="1" x14ac:dyDescent="0.25">
      <c r="A30" s="31" t="s">
        <v>82</v>
      </c>
      <c r="B30" s="36" t="s">
        <v>60</v>
      </c>
      <c r="C30" s="36" t="s">
        <v>61</v>
      </c>
      <c r="D30" s="36" t="s">
        <v>62</v>
      </c>
      <c r="E30" s="36" t="s">
        <v>63</v>
      </c>
      <c r="F30" s="36" t="s">
        <v>64</v>
      </c>
      <c r="G30" s="36" t="s">
        <v>65</v>
      </c>
      <c r="H30" s="36" t="s">
        <v>66</v>
      </c>
      <c r="I30" s="36" t="s">
        <v>67</v>
      </c>
      <c r="J30" s="36" t="s">
        <v>68</v>
      </c>
      <c r="K30" s="36" t="s">
        <v>69</v>
      </c>
      <c r="L30" s="36" t="s">
        <v>70</v>
      </c>
      <c r="M30" s="36" t="s">
        <v>71</v>
      </c>
      <c r="N30" s="36" t="s">
        <v>72</v>
      </c>
    </row>
    <row r="31" spans="1:14" ht="15" customHeight="1" x14ac:dyDescent="0.25">
      <c r="A31" s="32" t="s">
        <v>74</v>
      </c>
      <c r="B31" s="42">
        <f t="shared" ref="B31:N31" si="8">IFERROR(B23/B7,0)</f>
        <v>9.4999999999999918E-2</v>
      </c>
      <c r="C31" s="42">
        <f t="shared" si="8"/>
        <v>-1.7000000000000005E-2</v>
      </c>
      <c r="D31" s="42">
        <f t="shared" si="8"/>
        <v>5.0999999999999872E-2</v>
      </c>
      <c r="E31" s="42">
        <f t="shared" si="8"/>
        <v>-1.0000000000000096E-3</v>
      </c>
      <c r="F31" s="42">
        <f t="shared" si="8"/>
        <v>0.10299999999999997</v>
      </c>
      <c r="G31" s="42">
        <f t="shared" si="8"/>
        <v>1.200000000000008E-2</v>
      </c>
      <c r="H31" s="42">
        <f t="shared" si="8"/>
        <v>-2.7000000000000052E-2</v>
      </c>
      <c r="I31" s="42">
        <f t="shared" si="8"/>
        <v>-3.0999999999999996E-2</v>
      </c>
      <c r="J31" s="42">
        <f t="shared" si="8"/>
        <v>3.2000000000000042E-2</v>
      </c>
      <c r="K31" s="42">
        <f t="shared" si="8"/>
        <v>-2.6999999999999979E-2</v>
      </c>
      <c r="L31" s="42">
        <f t="shared" si="8"/>
        <v>3.6999999999999894E-2</v>
      </c>
      <c r="M31" s="42">
        <f t="shared" si="8"/>
        <v>0.10000000000000009</v>
      </c>
      <c r="N31" s="43">
        <f t="shared" si="8"/>
        <v>3.5695361710250013E-2</v>
      </c>
    </row>
    <row r="32" spans="1:14" ht="15" customHeight="1" x14ac:dyDescent="0.25">
      <c r="A32" s="32" t="s">
        <v>75</v>
      </c>
      <c r="B32" s="42">
        <f t="shared" ref="B32:N32" si="9">IFERROR(B24/B8,0)</f>
        <v>0</v>
      </c>
      <c r="C32" s="42">
        <f t="shared" si="9"/>
        <v>-3.5999999999999983E-2</v>
      </c>
      <c r="D32" s="42">
        <f t="shared" si="9"/>
        <v>0.12000000000000012</v>
      </c>
      <c r="E32" s="42">
        <f t="shared" si="9"/>
        <v>2.2000000000000096E-2</v>
      </c>
      <c r="F32" s="42">
        <f t="shared" si="9"/>
        <v>-6.2000000000000104E-2</v>
      </c>
      <c r="G32" s="42">
        <f t="shared" si="9"/>
        <v>-7.099999999999998E-2</v>
      </c>
      <c r="H32" s="42">
        <f t="shared" si="9"/>
        <v>-5.8000000000000017E-2</v>
      </c>
      <c r="I32" s="42">
        <f t="shared" si="9"/>
        <v>4.4999999999999894E-2</v>
      </c>
      <c r="J32" s="42">
        <f t="shared" si="9"/>
        <v>7.8000000000000153E-2</v>
      </c>
      <c r="K32" s="42">
        <f t="shared" si="9"/>
        <v>3.9999999999999983E-3</v>
      </c>
      <c r="L32" s="42">
        <f t="shared" si="9"/>
        <v>-6.6999999999999962E-2</v>
      </c>
      <c r="M32" s="42">
        <f t="shared" si="9"/>
        <v>-4.0000000000000062E-3</v>
      </c>
      <c r="N32" s="43">
        <f t="shared" si="9"/>
        <v>1.4629911104969374E-3</v>
      </c>
    </row>
    <row r="33" spans="1:14" ht="15" customHeight="1" x14ac:dyDescent="0.25">
      <c r="A33" s="32" t="s">
        <v>76</v>
      </c>
      <c r="B33" s="42">
        <f t="shared" ref="B33:N33" si="10">IFERROR(B25/B9,0)</f>
        <v>0.11900000000000004</v>
      </c>
      <c r="C33" s="42">
        <f t="shared" si="10"/>
        <v>2.5999999999999995E-2</v>
      </c>
      <c r="D33" s="42">
        <f t="shared" si="10"/>
        <v>0.11400000000000007</v>
      </c>
      <c r="E33" s="42">
        <f t="shared" si="10"/>
        <v>9.2000000000000179E-2</v>
      </c>
      <c r="F33" s="42">
        <f t="shared" si="10"/>
        <v>-7.7999999999999889E-2</v>
      </c>
      <c r="G33" s="42">
        <f t="shared" si="10"/>
        <v>6.4000000000000071E-2</v>
      </c>
      <c r="H33" s="42">
        <f t="shared" si="10"/>
        <v>5.5999999999999973E-2</v>
      </c>
      <c r="I33" s="42">
        <f t="shared" si="10"/>
        <v>2.6999999999999982E-2</v>
      </c>
      <c r="J33" s="42">
        <f t="shared" si="10"/>
        <v>-2.7000000000000076E-2</v>
      </c>
      <c r="K33" s="42">
        <f t="shared" si="10"/>
        <v>4.8000000000000008E-2</v>
      </c>
      <c r="L33" s="42">
        <f t="shared" si="10"/>
        <v>-5.8000000000000045E-2</v>
      </c>
      <c r="M33" s="42">
        <f t="shared" si="10"/>
        <v>7.0000000000000001E-3</v>
      </c>
      <c r="N33" s="43">
        <f t="shared" si="10"/>
        <v>2.9668219659360097E-2</v>
      </c>
    </row>
    <row r="34" spans="1:14" ht="15" customHeight="1" x14ac:dyDescent="0.25">
      <c r="A34" s="32" t="s">
        <v>77</v>
      </c>
      <c r="B34" s="42">
        <f t="shared" ref="B34:N34" si="11">IFERROR(B26/B10,0)</f>
        <v>1.0999999999999845E-2</v>
      </c>
      <c r="C34" s="42">
        <f t="shared" si="11"/>
        <v>0.11099999999999995</v>
      </c>
      <c r="D34" s="42">
        <f t="shared" si="11"/>
        <v>9.5000000000000015E-2</v>
      </c>
      <c r="E34" s="42">
        <f t="shared" si="11"/>
        <v>-2.6999999999999968E-2</v>
      </c>
      <c r="F34" s="42">
        <f t="shared" si="11"/>
        <v>2.0000000000000066E-2</v>
      </c>
      <c r="G34" s="42">
        <f t="shared" si="11"/>
        <v>-4.4000000000000088E-2</v>
      </c>
      <c r="H34" s="42">
        <f t="shared" si="11"/>
        <v>0.10299999999999999</v>
      </c>
      <c r="I34" s="42">
        <f t="shared" si="11"/>
        <v>9.4000000000000139E-2</v>
      </c>
      <c r="J34" s="42">
        <f t="shared" si="11"/>
        <v>-2.0000000000000032E-2</v>
      </c>
      <c r="K34" s="42">
        <f t="shared" si="11"/>
        <v>4.799999999999998E-2</v>
      </c>
      <c r="L34" s="42">
        <f t="shared" si="11"/>
        <v>4.2000000000000121E-2</v>
      </c>
      <c r="M34" s="42">
        <f t="shared" si="11"/>
        <v>-4.9000000000000023E-2</v>
      </c>
      <c r="N34" s="43">
        <f t="shared" si="11"/>
        <v>3.7866757724189778E-2</v>
      </c>
    </row>
    <row r="35" spans="1:14" ht="15" customHeight="1" x14ac:dyDescent="0.25">
      <c r="A35" s="32" t="s">
        <v>78</v>
      </c>
      <c r="B35" s="42">
        <f t="shared" ref="B35:N35" si="12">IFERROR(B27/B11,0)</f>
        <v>7.2999999999999898E-2</v>
      </c>
      <c r="C35" s="42">
        <f t="shared" si="12"/>
        <v>2.8000000000000067E-2</v>
      </c>
      <c r="D35" s="42">
        <f t="shared" si="12"/>
        <v>7.6000000000000012E-2</v>
      </c>
      <c r="E35" s="42">
        <f t="shared" si="12"/>
        <v>2.5999999999999947E-2</v>
      </c>
      <c r="F35" s="42">
        <f t="shared" si="12"/>
        <v>-7.9999999999999988E-2</v>
      </c>
      <c r="G35" s="42">
        <f t="shared" si="12"/>
        <v>-1.5000000000000083E-2</v>
      </c>
      <c r="H35" s="42">
        <f t="shared" si="12"/>
        <v>-7.6000000000000012E-2</v>
      </c>
      <c r="I35" s="42">
        <f t="shared" si="12"/>
        <v>0.10600000000000018</v>
      </c>
      <c r="J35" s="42">
        <f t="shared" si="12"/>
        <v>9.6000000000000071E-2</v>
      </c>
      <c r="K35" s="42">
        <f t="shared" si="12"/>
        <v>8.6000000000000076E-2</v>
      </c>
      <c r="L35" s="42">
        <f t="shared" si="12"/>
        <v>-1.800000000000011E-2</v>
      </c>
      <c r="M35" s="42">
        <f t="shared" si="12"/>
        <v>-6.8000000000000102E-2</v>
      </c>
      <c r="N35" s="43">
        <f t="shared" si="12"/>
        <v>2.0930281597328907E-2</v>
      </c>
    </row>
    <row r="36" spans="1:14" ht="15" customHeight="1" x14ac:dyDescent="0.25">
      <c r="A36" s="32" t="s">
        <v>79</v>
      </c>
      <c r="B36" s="42">
        <f t="shared" ref="B36:N36" si="13">IFERROR(B28/B12,0)</f>
        <v>9.6000000000000058E-2</v>
      </c>
      <c r="C36" s="42">
        <f t="shared" si="13"/>
        <v>0.10899999999999992</v>
      </c>
      <c r="D36" s="42">
        <f t="shared" si="13"/>
        <v>-6.2999999999999931E-2</v>
      </c>
      <c r="E36" s="42">
        <f t="shared" si="13"/>
        <v>1.699999999999998E-2</v>
      </c>
      <c r="F36" s="42">
        <f t="shared" si="13"/>
        <v>-6.6000000000000072E-2</v>
      </c>
      <c r="G36" s="42">
        <f t="shared" si="13"/>
        <v>7.2000000000000078E-2</v>
      </c>
      <c r="H36" s="42">
        <f t="shared" si="13"/>
        <v>7.2999999999999968E-2</v>
      </c>
      <c r="I36" s="42">
        <f t="shared" si="13"/>
        <v>-5.4000000000000069E-2</v>
      </c>
      <c r="J36" s="42">
        <f t="shared" si="13"/>
        <v>1.4999999999999866E-2</v>
      </c>
      <c r="K36" s="42">
        <f t="shared" si="13"/>
        <v>2.9999999999999975E-2</v>
      </c>
      <c r="L36" s="42">
        <f t="shared" si="13"/>
        <v>-2.6999999999999958E-2</v>
      </c>
      <c r="M36" s="42">
        <f t="shared" si="13"/>
        <v>9.4000000000000153E-2</v>
      </c>
      <c r="N36" s="43">
        <f t="shared" si="13"/>
        <v>3.3456499284919804E-2</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zoomScaleNormal="100" workbookViewId="0">
      <selection activeCell="N31" sqref="N31"/>
    </sheetView>
  </sheetViews>
  <sheetFormatPr defaultColWidth="8.7109375" defaultRowHeight="15" x14ac:dyDescent="0.25"/>
  <cols>
    <col min="1" max="1" width="22" customWidth="1"/>
    <col min="2" max="14" width="10" customWidth="1"/>
  </cols>
  <sheetData>
    <row r="1" spans="1:14" ht="27.75" customHeight="1" x14ac:dyDescent="0.25">
      <c r="A1" s="128" t="s">
        <v>56</v>
      </c>
      <c r="B1" s="128"/>
      <c r="C1" s="128"/>
      <c r="D1" s="128"/>
      <c r="E1" s="128"/>
      <c r="F1" s="128"/>
      <c r="G1" s="128"/>
      <c r="H1" s="128"/>
      <c r="I1" s="128"/>
      <c r="J1" s="128"/>
      <c r="K1" s="44"/>
      <c r="L1" s="44"/>
      <c r="M1" s="44"/>
      <c r="N1" s="44"/>
    </row>
    <row r="2" spans="1:14" ht="15" customHeight="1" x14ac:dyDescent="0.25">
      <c r="A2" s="129" t="s">
        <v>83</v>
      </c>
      <c r="B2" s="129"/>
      <c r="C2" s="129"/>
      <c r="D2" s="129"/>
      <c r="E2" s="129"/>
      <c r="F2" s="129"/>
      <c r="G2" s="129"/>
      <c r="H2" s="129"/>
      <c r="I2" s="129"/>
      <c r="J2" s="129"/>
      <c r="K2" s="45"/>
      <c r="L2" s="45"/>
      <c r="M2" s="45"/>
      <c r="N2" s="45"/>
    </row>
    <row r="4" spans="1:14" ht="18" customHeight="1" x14ac:dyDescent="0.25">
      <c r="A4" s="46" t="s">
        <v>84</v>
      </c>
      <c r="B4" s="47"/>
      <c r="C4" s="47"/>
      <c r="D4" s="47"/>
      <c r="E4" s="47"/>
      <c r="F4" s="47"/>
      <c r="G4" s="47"/>
      <c r="H4" s="47"/>
      <c r="I4" s="47"/>
      <c r="J4" s="47"/>
      <c r="K4" s="47"/>
      <c r="L4" s="47"/>
      <c r="M4" s="47"/>
      <c r="N4" s="47"/>
    </row>
    <row r="5" spans="1:14" ht="15" customHeight="1" x14ac:dyDescent="0.25">
      <c r="A5" s="30" t="s">
        <v>59</v>
      </c>
      <c r="B5" s="30" t="s">
        <v>60</v>
      </c>
      <c r="C5" s="30" t="s">
        <v>61</v>
      </c>
      <c r="D5" s="30" t="s">
        <v>62</v>
      </c>
      <c r="E5" s="30" t="s">
        <v>63</v>
      </c>
      <c r="F5" s="30" t="s">
        <v>64</v>
      </c>
      <c r="G5" s="30" t="s">
        <v>65</v>
      </c>
      <c r="H5" s="30" t="s">
        <v>66</v>
      </c>
      <c r="I5" s="30" t="s">
        <v>67</v>
      </c>
      <c r="J5" s="30" t="s">
        <v>68</v>
      </c>
      <c r="K5" s="30" t="s">
        <v>69</v>
      </c>
      <c r="L5" s="30" t="s">
        <v>70</v>
      </c>
      <c r="M5" s="30" t="s">
        <v>71</v>
      </c>
      <c r="N5" s="30" t="s">
        <v>72</v>
      </c>
    </row>
    <row r="6" spans="1:14" ht="15.75" customHeight="1" x14ac:dyDescent="0.25">
      <c r="A6" s="31" t="s">
        <v>73</v>
      </c>
      <c r="B6" s="48"/>
      <c r="C6" s="48"/>
      <c r="D6" s="48"/>
      <c r="E6" s="48"/>
      <c r="F6" s="48"/>
      <c r="G6" s="48"/>
      <c r="H6" s="48"/>
      <c r="I6" s="48"/>
      <c r="J6" s="48"/>
      <c r="K6" s="48"/>
      <c r="L6" s="48"/>
      <c r="M6" s="48"/>
      <c r="N6" s="48"/>
    </row>
    <row r="7" spans="1:14" x14ac:dyDescent="0.25">
      <c r="A7" s="49" t="s">
        <v>74</v>
      </c>
      <c r="B7" s="50">
        <v>1620</v>
      </c>
      <c r="C7" s="50">
        <v>597</v>
      </c>
      <c r="D7" s="50">
        <v>1013</v>
      </c>
      <c r="E7" s="50">
        <v>927</v>
      </c>
      <c r="F7" s="50">
        <v>1781</v>
      </c>
      <c r="G7" s="50">
        <v>1681</v>
      </c>
      <c r="H7" s="50">
        <v>2040</v>
      </c>
      <c r="I7" s="50">
        <v>700</v>
      </c>
      <c r="J7" s="50">
        <v>1258</v>
      </c>
      <c r="K7" s="50">
        <v>605</v>
      </c>
      <c r="L7" s="50">
        <v>919</v>
      </c>
      <c r="M7" s="50">
        <v>1396</v>
      </c>
      <c r="N7" s="51">
        <f t="shared" ref="N7:N12" si="0">SUM(B7:M7)</f>
        <v>14537</v>
      </c>
    </row>
    <row r="8" spans="1:14" x14ac:dyDescent="0.25">
      <c r="A8" s="49" t="s">
        <v>75</v>
      </c>
      <c r="B8" s="50">
        <v>599</v>
      </c>
      <c r="C8" s="50">
        <v>886</v>
      </c>
      <c r="D8" s="50">
        <v>1637</v>
      </c>
      <c r="E8" s="50">
        <v>1462</v>
      </c>
      <c r="F8" s="50">
        <v>922</v>
      </c>
      <c r="G8" s="50">
        <v>1536</v>
      </c>
      <c r="H8" s="50">
        <v>1903</v>
      </c>
      <c r="I8" s="50">
        <v>566</v>
      </c>
      <c r="J8" s="50">
        <v>1896</v>
      </c>
      <c r="K8" s="50">
        <v>1717</v>
      </c>
      <c r="L8" s="50">
        <v>1122</v>
      </c>
      <c r="M8" s="50">
        <v>814</v>
      </c>
      <c r="N8" s="51">
        <f t="shared" si="0"/>
        <v>15060</v>
      </c>
    </row>
    <row r="9" spans="1:14" x14ac:dyDescent="0.25">
      <c r="A9" s="49" t="s">
        <v>76</v>
      </c>
      <c r="B9" s="50">
        <v>2148</v>
      </c>
      <c r="C9" s="50">
        <v>1115</v>
      </c>
      <c r="D9" s="50">
        <v>710</v>
      </c>
      <c r="E9" s="50">
        <v>716</v>
      </c>
      <c r="F9" s="50">
        <v>1966</v>
      </c>
      <c r="G9" s="50">
        <v>1560</v>
      </c>
      <c r="H9" s="50">
        <v>1898</v>
      </c>
      <c r="I9" s="50">
        <v>1769</v>
      </c>
      <c r="J9" s="50">
        <v>1448</v>
      </c>
      <c r="K9" s="50">
        <v>2174</v>
      </c>
      <c r="L9" s="50">
        <v>1185</v>
      </c>
      <c r="M9" s="50">
        <v>1474</v>
      </c>
      <c r="N9" s="51">
        <f t="shared" si="0"/>
        <v>18163</v>
      </c>
    </row>
    <row r="10" spans="1:14" x14ac:dyDescent="0.25">
      <c r="A10" s="49" t="s">
        <v>77</v>
      </c>
      <c r="B10" s="50">
        <v>1936</v>
      </c>
      <c r="C10" s="50">
        <v>1584</v>
      </c>
      <c r="D10" s="50">
        <v>1989</v>
      </c>
      <c r="E10" s="50">
        <v>1516</v>
      </c>
      <c r="F10" s="50">
        <v>1728</v>
      </c>
      <c r="G10" s="50">
        <v>631</v>
      </c>
      <c r="H10" s="50">
        <v>934</v>
      </c>
      <c r="I10" s="50">
        <v>1037</v>
      </c>
      <c r="J10" s="50">
        <v>688</v>
      </c>
      <c r="K10" s="50">
        <v>943</v>
      </c>
      <c r="L10" s="50">
        <v>723</v>
      </c>
      <c r="M10" s="50">
        <v>1018</v>
      </c>
      <c r="N10" s="51">
        <f t="shared" si="0"/>
        <v>14727</v>
      </c>
    </row>
    <row r="11" spans="1:14" x14ac:dyDescent="0.25">
      <c r="A11" s="49" t="s">
        <v>78</v>
      </c>
      <c r="B11" s="50">
        <v>1613</v>
      </c>
      <c r="C11" s="50">
        <v>1162</v>
      </c>
      <c r="D11" s="50">
        <v>1171</v>
      </c>
      <c r="E11" s="50">
        <v>904</v>
      </c>
      <c r="F11" s="50">
        <v>999</v>
      </c>
      <c r="G11" s="50">
        <v>2114</v>
      </c>
      <c r="H11" s="50">
        <v>1633</v>
      </c>
      <c r="I11" s="50">
        <v>1569</v>
      </c>
      <c r="J11" s="50">
        <v>840</v>
      </c>
      <c r="K11" s="50">
        <v>1769</v>
      </c>
      <c r="L11" s="50">
        <v>827</v>
      </c>
      <c r="M11" s="50">
        <v>1187</v>
      </c>
      <c r="N11" s="51">
        <f t="shared" si="0"/>
        <v>15788</v>
      </c>
    </row>
    <row r="12" spans="1:14" x14ac:dyDescent="0.25">
      <c r="A12" s="49" t="s">
        <v>79</v>
      </c>
      <c r="B12" s="50">
        <v>2202</v>
      </c>
      <c r="C12" s="50">
        <v>1620</v>
      </c>
      <c r="D12" s="50">
        <v>1482</v>
      </c>
      <c r="E12" s="50">
        <v>1694</v>
      </c>
      <c r="F12" s="50">
        <v>1958</v>
      </c>
      <c r="G12" s="50">
        <v>1846</v>
      </c>
      <c r="H12" s="50">
        <v>936</v>
      </c>
      <c r="I12" s="50">
        <v>608</v>
      </c>
      <c r="J12" s="50">
        <v>1080</v>
      </c>
      <c r="K12" s="50">
        <v>1001</v>
      </c>
      <c r="L12" s="50">
        <v>906</v>
      </c>
      <c r="M12" s="50">
        <v>2125</v>
      </c>
      <c r="N12" s="51">
        <f t="shared" si="0"/>
        <v>17458</v>
      </c>
    </row>
    <row r="13" spans="1:14" x14ac:dyDescent="0.25">
      <c r="A13" s="52"/>
      <c r="B13" s="52"/>
      <c r="C13" s="52"/>
      <c r="D13" s="52"/>
      <c r="E13" s="52"/>
      <c r="F13" s="52"/>
      <c r="G13" s="52"/>
      <c r="H13" s="52"/>
      <c r="I13" s="52"/>
      <c r="J13" s="52"/>
      <c r="K13" s="52"/>
      <c r="L13" s="52"/>
      <c r="M13" s="52"/>
      <c r="N13" s="52"/>
    </row>
    <row r="14" spans="1:14" ht="15.75" customHeight="1" x14ac:dyDescent="0.25">
      <c r="A14" s="35" t="s">
        <v>80</v>
      </c>
      <c r="B14" s="30" t="s">
        <v>60</v>
      </c>
      <c r="C14" s="30" t="s">
        <v>61</v>
      </c>
      <c r="D14" s="30" t="s">
        <v>62</v>
      </c>
      <c r="E14" s="30" t="s">
        <v>63</v>
      </c>
      <c r="F14" s="30" t="s">
        <v>64</v>
      </c>
      <c r="G14" s="30" t="s">
        <v>65</v>
      </c>
      <c r="H14" s="30" t="s">
        <v>66</v>
      </c>
      <c r="I14" s="30" t="s">
        <v>67</v>
      </c>
      <c r="J14" s="30" t="s">
        <v>68</v>
      </c>
      <c r="K14" s="30" t="s">
        <v>69</v>
      </c>
      <c r="L14" s="30" t="s">
        <v>70</v>
      </c>
      <c r="M14" s="30" t="s">
        <v>71</v>
      </c>
      <c r="N14" s="30" t="s">
        <v>72</v>
      </c>
    </row>
    <row r="15" spans="1:14" x14ac:dyDescent="0.25">
      <c r="A15" s="49" t="s">
        <v>74</v>
      </c>
      <c r="B15" s="53">
        <f>B7*(1+0.082)</f>
        <v>1752.8400000000001</v>
      </c>
      <c r="C15" s="53">
        <f>C7*(1+-0.024)</f>
        <v>582.67200000000003</v>
      </c>
      <c r="D15" s="53">
        <f>D7*(1+0.067)</f>
        <v>1080.8709999999999</v>
      </c>
      <c r="E15" s="53">
        <f>E7*(1+0.011)</f>
        <v>937.19699999999989</v>
      </c>
      <c r="F15" s="53">
        <f>F7*(1+0.091)</f>
        <v>1943.0709999999999</v>
      </c>
      <c r="G15" s="53">
        <f>G7*(1+-0.018)</f>
        <v>1650.742</v>
      </c>
      <c r="H15" s="53">
        <f>H7*(1+0.043)</f>
        <v>2127.7199999999998</v>
      </c>
      <c r="I15" s="53">
        <f>I7*(1+-0.052)</f>
        <v>663.6</v>
      </c>
      <c r="J15" s="53">
        <f>J7*(1+0.028)</f>
        <v>1293.2239999999999</v>
      </c>
      <c r="K15" s="53">
        <f>K7*(1+-0.019)</f>
        <v>593.505</v>
      </c>
      <c r="L15" s="53">
        <f>L7*(1+0.055)</f>
        <v>969.54499999999996</v>
      </c>
      <c r="M15" s="53">
        <f>M7*(1+0.087)</f>
        <v>1517.452</v>
      </c>
      <c r="N15" s="54">
        <f t="shared" ref="N15:N20" si="1">SUM(B15:M15)</f>
        <v>15112.438999999998</v>
      </c>
    </row>
    <row r="16" spans="1:14" x14ac:dyDescent="0.25">
      <c r="A16" s="49" t="s">
        <v>75</v>
      </c>
      <c r="B16" s="53">
        <f>B8*(1+0.115)</f>
        <v>667.88499999999999</v>
      </c>
      <c r="C16" s="53">
        <f>C8*(1+0.032)</f>
        <v>914.35199999999998</v>
      </c>
      <c r="D16" s="53">
        <f>D8*(1+-0.041)</f>
        <v>1569.883</v>
      </c>
      <c r="E16" s="53">
        <f>E8*(1+0.078)</f>
        <v>1576.0360000000001</v>
      </c>
      <c r="F16" s="53">
        <f>F8*(1+0.019)</f>
        <v>939.51799999999992</v>
      </c>
      <c r="G16" s="53">
        <f>G8*(1+-0.063)</f>
        <v>1439.232</v>
      </c>
      <c r="H16" s="53">
        <f>H8*(1+0.094)</f>
        <v>2081.8820000000001</v>
      </c>
      <c r="I16" s="53">
        <f>I8*(1+0.021)</f>
        <v>577.88599999999997</v>
      </c>
      <c r="J16" s="53">
        <f>J8*(1+-0.038)</f>
        <v>1823.952</v>
      </c>
      <c r="K16" s="53">
        <f>K8*(1+0.047)</f>
        <v>1797.6989999999998</v>
      </c>
      <c r="L16" s="53">
        <f>L8*(1+-0.012)</f>
        <v>1108.5360000000001</v>
      </c>
      <c r="M16" s="53">
        <f>M8*(1+0.033)</f>
        <v>840.86199999999997</v>
      </c>
      <c r="N16" s="54">
        <f t="shared" si="1"/>
        <v>15337.723</v>
      </c>
    </row>
    <row r="17" spans="1:14" x14ac:dyDescent="0.25">
      <c r="A17" s="49" t="s">
        <v>76</v>
      </c>
      <c r="B17" s="53">
        <f>B9*(1+-0.027)</f>
        <v>2090.0039999999999</v>
      </c>
      <c r="C17" s="53">
        <f>C9*(1+0.088)</f>
        <v>1213.1200000000001</v>
      </c>
      <c r="D17" s="53">
        <f>D9*(1+0.054)</f>
        <v>748.34</v>
      </c>
      <c r="E17" s="53">
        <f>E9*(1+-0.019)</f>
        <v>702.39599999999996</v>
      </c>
      <c r="F17" s="53">
        <f>F9*(1+0.103)</f>
        <v>2168.498</v>
      </c>
      <c r="G17" s="53">
        <f>G9*(1+0.041)</f>
        <v>1623.9599999999998</v>
      </c>
      <c r="H17" s="53">
        <f>H9*(1+-0.033)</f>
        <v>1835.366</v>
      </c>
      <c r="I17" s="53">
        <f>I9*(1+0.076)</f>
        <v>1903.4440000000002</v>
      </c>
      <c r="J17" s="53">
        <f>J9*(1+0.017)</f>
        <v>1472.6159999999998</v>
      </c>
      <c r="K17" s="53">
        <f>K9*(1+-0.044)</f>
        <v>2078.3440000000001</v>
      </c>
      <c r="L17" s="53">
        <f>L9*(1+0.062)</f>
        <v>1258.47</v>
      </c>
      <c r="M17" s="53">
        <f>M9*(1+0.009)</f>
        <v>1487.2659999999998</v>
      </c>
      <c r="N17" s="54">
        <f t="shared" si="1"/>
        <v>18581.824000000001</v>
      </c>
    </row>
    <row r="18" spans="1:14" x14ac:dyDescent="0.25">
      <c r="A18" s="49" t="s">
        <v>77</v>
      </c>
      <c r="B18" s="53">
        <f>B10*(1+0.039)</f>
        <v>2011.5039999999999</v>
      </c>
      <c r="C18" s="53">
        <f>C10*(1+-0.051)</f>
        <v>1503.2159999999999</v>
      </c>
      <c r="D18" s="53">
        <f>D10*(1+0.112)</f>
        <v>2211.768</v>
      </c>
      <c r="E18" s="53">
        <f>E10*(1+0.023)</f>
        <v>1550.8679999999999</v>
      </c>
      <c r="F18" s="53">
        <f>F10*(1+-0.016)</f>
        <v>1700.3519999999999</v>
      </c>
      <c r="G18" s="53">
        <f>G10*(1+0.084)</f>
        <v>684.00400000000002</v>
      </c>
      <c r="H18" s="53">
        <f>H10*(1+0.027)</f>
        <v>959.21799999999996</v>
      </c>
      <c r="I18" s="53">
        <f>I10*(1+-0.039)</f>
        <v>996.55700000000002</v>
      </c>
      <c r="J18" s="53">
        <f>J10*(1+0.093)</f>
        <v>751.98399999999992</v>
      </c>
      <c r="K18" s="53">
        <f>K10*(1+0.011)</f>
        <v>953.37299999999993</v>
      </c>
      <c r="L18" s="53">
        <f>L10*(1+-0.028)</f>
        <v>702.75599999999997</v>
      </c>
      <c r="M18" s="53">
        <f>M10*(1+0.065)</f>
        <v>1084.1699999999998</v>
      </c>
      <c r="N18" s="54">
        <f t="shared" si="1"/>
        <v>15109.77</v>
      </c>
    </row>
    <row r="19" spans="1:14" x14ac:dyDescent="0.25">
      <c r="A19" s="49" t="s">
        <v>78</v>
      </c>
      <c r="B19" s="53">
        <f>B11*(1+0.067)</f>
        <v>1721.0709999999999</v>
      </c>
      <c r="C19" s="53">
        <f>C11*(1+0.018)</f>
        <v>1182.9159999999999</v>
      </c>
      <c r="D19" s="53">
        <f>D11*(1+-0.073)</f>
        <v>1085.5170000000001</v>
      </c>
      <c r="E19" s="53">
        <f>E11*(1+0.041)</f>
        <v>941.06399999999996</v>
      </c>
      <c r="F19" s="53">
        <f>F11*(1+0.086)</f>
        <v>1084.914</v>
      </c>
      <c r="G19" s="53">
        <f>G11*(1+-0.024)</f>
        <v>2063.2640000000001</v>
      </c>
      <c r="H19" s="53">
        <f>H11*(1+0.052)</f>
        <v>1717.9160000000002</v>
      </c>
      <c r="I19" s="53">
        <f>I11*(1+0.031)</f>
        <v>1617.6389999999999</v>
      </c>
      <c r="J19" s="53">
        <f>J11*(1+-0.047)</f>
        <v>800.52</v>
      </c>
      <c r="K19" s="53">
        <f>K11*(1+0.089)</f>
        <v>1926.441</v>
      </c>
      <c r="L19" s="53">
        <f>L11*(1+0.013)</f>
        <v>837.75099999999986</v>
      </c>
      <c r="M19" s="53">
        <f>M11*(1+-0.056)</f>
        <v>1120.528</v>
      </c>
      <c r="N19" s="54">
        <f t="shared" si="1"/>
        <v>16099.541000000001</v>
      </c>
    </row>
    <row r="20" spans="1:14" x14ac:dyDescent="0.25">
      <c r="A20" s="49" t="s">
        <v>79</v>
      </c>
      <c r="B20" s="53">
        <f>B12*(1+0.044)</f>
        <v>2298.8879999999999</v>
      </c>
      <c r="C20" s="53">
        <f>C12*(1+0.091)</f>
        <v>1767.4199999999998</v>
      </c>
      <c r="D20" s="53">
        <f>D12*(1+-0.028)</f>
        <v>1440.5039999999999</v>
      </c>
      <c r="E20" s="53">
        <f>E12*(1+0.063)</f>
        <v>1800.722</v>
      </c>
      <c r="F20" s="53">
        <f>F12*(1+-0.081)</f>
        <v>1799.402</v>
      </c>
      <c r="G20" s="53">
        <f>G12*(1+0.037)</f>
        <v>1914.3019999999999</v>
      </c>
      <c r="H20" s="53">
        <f>H12*(1+0.072)</f>
        <v>1003.3920000000001</v>
      </c>
      <c r="I20" s="53">
        <f>I12*(1+-0.019)</f>
        <v>596.44799999999998</v>
      </c>
      <c r="J20" s="53">
        <f>J12*(1+0.048)</f>
        <v>1131.8400000000001</v>
      </c>
      <c r="K20" s="53">
        <f>K12*(1+0.026)</f>
        <v>1027.0260000000001</v>
      </c>
      <c r="L20" s="53">
        <f>L12*(1+-0.041)</f>
        <v>868.85399999999993</v>
      </c>
      <c r="M20" s="53">
        <f>M12*(1+0.083)</f>
        <v>2301.375</v>
      </c>
      <c r="N20" s="54">
        <f t="shared" si="1"/>
        <v>17950.172999999999</v>
      </c>
    </row>
    <row r="21" spans="1:14" x14ac:dyDescent="0.25">
      <c r="A21" s="52"/>
      <c r="B21" s="52"/>
      <c r="C21" s="52"/>
      <c r="D21" s="52"/>
      <c r="E21" s="52"/>
      <c r="F21" s="52"/>
      <c r="G21" s="52"/>
      <c r="H21" s="52"/>
      <c r="I21" s="52"/>
      <c r="J21" s="52"/>
      <c r="K21" s="52"/>
      <c r="L21" s="52"/>
      <c r="M21" s="52"/>
      <c r="N21" s="52"/>
    </row>
    <row r="22" spans="1:14" ht="15.75" customHeight="1" x14ac:dyDescent="0.25">
      <c r="A22" s="55" t="s">
        <v>81</v>
      </c>
      <c r="B22" s="30" t="s">
        <v>60</v>
      </c>
      <c r="C22" s="30" t="s">
        <v>61</v>
      </c>
      <c r="D22" s="30" t="s">
        <v>62</v>
      </c>
      <c r="E22" s="30" t="s">
        <v>63</v>
      </c>
      <c r="F22" s="30" t="s">
        <v>64</v>
      </c>
      <c r="G22" s="30" t="s">
        <v>65</v>
      </c>
      <c r="H22" s="30" t="s">
        <v>66</v>
      </c>
      <c r="I22" s="30" t="s">
        <v>67</v>
      </c>
      <c r="J22" s="30" t="s">
        <v>68</v>
      </c>
      <c r="K22" s="30" t="s">
        <v>69</v>
      </c>
      <c r="L22" s="30" t="s">
        <v>70</v>
      </c>
      <c r="M22" s="30" t="s">
        <v>71</v>
      </c>
      <c r="N22" s="30" t="s">
        <v>72</v>
      </c>
    </row>
    <row r="23" spans="1:14" x14ac:dyDescent="0.25">
      <c r="A23" s="49" t="s">
        <v>74</v>
      </c>
      <c r="B23" s="56">
        <f t="shared" ref="B23:M23" si="2">B15-B7</f>
        <v>132.84000000000015</v>
      </c>
      <c r="C23" s="56">
        <f t="shared" si="2"/>
        <v>-14.327999999999975</v>
      </c>
      <c r="D23" s="56">
        <f t="shared" si="2"/>
        <v>67.870999999999867</v>
      </c>
      <c r="E23" s="56">
        <f t="shared" si="2"/>
        <v>10.196999999999889</v>
      </c>
      <c r="F23" s="56">
        <f t="shared" si="2"/>
        <v>162.07099999999991</v>
      </c>
      <c r="G23" s="56">
        <f t="shared" si="2"/>
        <v>-30.258000000000038</v>
      </c>
      <c r="H23" s="56">
        <f t="shared" si="2"/>
        <v>87.7199999999998</v>
      </c>
      <c r="I23" s="56">
        <f t="shared" si="2"/>
        <v>-36.399999999999977</v>
      </c>
      <c r="J23" s="56">
        <f t="shared" si="2"/>
        <v>35.223999999999933</v>
      </c>
      <c r="K23" s="56">
        <f t="shared" si="2"/>
        <v>-11.495000000000005</v>
      </c>
      <c r="L23" s="56">
        <f t="shared" si="2"/>
        <v>50.544999999999959</v>
      </c>
      <c r="M23" s="56">
        <f t="shared" si="2"/>
        <v>121.452</v>
      </c>
      <c r="N23" s="54">
        <f t="shared" ref="N23:N28" si="3">SUM(B23:M23)</f>
        <v>575.43899999999951</v>
      </c>
    </row>
    <row r="24" spans="1:14" x14ac:dyDescent="0.25">
      <c r="A24" s="49" t="s">
        <v>75</v>
      </c>
      <c r="B24" s="56">
        <f t="shared" ref="B24:M24" si="4">B16-B8</f>
        <v>68.884999999999991</v>
      </c>
      <c r="C24" s="56">
        <f t="shared" si="4"/>
        <v>28.351999999999975</v>
      </c>
      <c r="D24" s="56">
        <f t="shared" si="4"/>
        <v>-67.116999999999962</v>
      </c>
      <c r="E24" s="56">
        <f t="shared" si="4"/>
        <v>114.03600000000006</v>
      </c>
      <c r="F24" s="56">
        <f t="shared" si="4"/>
        <v>17.517999999999915</v>
      </c>
      <c r="G24" s="56">
        <f t="shared" si="4"/>
        <v>-96.768000000000029</v>
      </c>
      <c r="H24" s="56">
        <f t="shared" si="4"/>
        <v>178.88200000000006</v>
      </c>
      <c r="I24" s="56">
        <f t="shared" si="4"/>
        <v>11.885999999999967</v>
      </c>
      <c r="J24" s="56">
        <f t="shared" si="4"/>
        <v>-72.048000000000002</v>
      </c>
      <c r="K24" s="56">
        <f t="shared" si="4"/>
        <v>80.698999999999842</v>
      </c>
      <c r="L24" s="56">
        <f t="shared" si="4"/>
        <v>-13.463999999999942</v>
      </c>
      <c r="M24" s="56">
        <f t="shared" si="4"/>
        <v>26.861999999999966</v>
      </c>
      <c r="N24" s="54">
        <f t="shared" si="3"/>
        <v>277.72299999999984</v>
      </c>
    </row>
    <row r="25" spans="1:14" x14ac:dyDescent="0.25">
      <c r="A25" s="49" t="s">
        <v>76</v>
      </c>
      <c r="B25" s="56">
        <f t="shared" ref="B25:M25" si="5">B17-B9</f>
        <v>-57.996000000000095</v>
      </c>
      <c r="C25" s="56">
        <f t="shared" si="5"/>
        <v>98.120000000000118</v>
      </c>
      <c r="D25" s="56">
        <f t="shared" si="5"/>
        <v>38.340000000000032</v>
      </c>
      <c r="E25" s="56">
        <f t="shared" si="5"/>
        <v>-13.604000000000042</v>
      </c>
      <c r="F25" s="56">
        <f t="shared" si="5"/>
        <v>202.49800000000005</v>
      </c>
      <c r="G25" s="56">
        <f t="shared" si="5"/>
        <v>63.959999999999809</v>
      </c>
      <c r="H25" s="56">
        <f t="shared" si="5"/>
        <v>-62.634000000000015</v>
      </c>
      <c r="I25" s="56">
        <f t="shared" si="5"/>
        <v>134.44400000000019</v>
      </c>
      <c r="J25" s="56">
        <f t="shared" si="5"/>
        <v>24.615999999999758</v>
      </c>
      <c r="K25" s="56">
        <f t="shared" si="5"/>
        <v>-95.655999999999949</v>
      </c>
      <c r="L25" s="56">
        <f t="shared" si="5"/>
        <v>73.470000000000027</v>
      </c>
      <c r="M25" s="56">
        <f t="shared" si="5"/>
        <v>13.265999999999849</v>
      </c>
      <c r="N25" s="54">
        <f t="shared" si="3"/>
        <v>418.82399999999973</v>
      </c>
    </row>
    <row r="26" spans="1:14" x14ac:dyDescent="0.25">
      <c r="A26" s="49" t="s">
        <v>77</v>
      </c>
      <c r="B26" s="56">
        <f t="shared" ref="B26:M26" si="6">B18-B10</f>
        <v>75.503999999999905</v>
      </c>
      <c r="C26" s="56">
        <f t="shared" si="6"/>
        <v>-80.784000000000106</v>
      </c>
      <c r="D26" s="56">
        <f t="shared" si="6"/>
        <v>222.76800000000003</v>
      </c>
      <c r="E26" s="56">
        <f t="shared" si="6"/>
        <v>34.867999999999938</v>
      </c>
      <c r="F26" s="56">
        <f t="shared" si="6"/>
        <v>-27.648000000000138</v>
      </c>
      <c r="G26" s="56">
        <f t="shared" si="6"/>
        <v>53.004000000000019</v>
      </c>
      <c r="H26" s="56">
        <f t="shared" si="6"/>
        <v>25.217999999999961</v>
      </c>
      <c r="I26" s="56">
        <f t="shared" si="6"/>
        <v>-40.442999999999984</v>
      </c>
      <c r="J26" s="56">
        <f t="shared" si="6"/>
        <v>63.983999999999924</v>
      </c>
      <c r="K26" s="56">
        <f t="shared" si="6"/>
        <v>10.372999999999934</v>
      </c>
      <c r="L26" s="56">
        <f t="shared" si="6"/>
        <v>-20.244000000000028</v>
      </c>
      <c r="M26" s="56">
        <f t="shared" si="6"/>
        <v>66.169999999999845</v>
      </c>
      <c r="N26" s="54">
        <f t="shared" si="3"/>
        <v>382.7699999999993</v>
      </c>
    </row>
    <row r="27" spans="1:14" x14ac:dyDescent="0.25">
      <c r="A27" s="49" t="s">
        <v>78</v>
      </c>
      <c r="B27" s="56">
        <f t="shared" ref="B27:M27" si="7">B19-B11</f>
        <v>108.07099999999991</v>
      </c>
      <c r="C27" s="56">
        <f t="shared" si="7"/>
        <v>20.91599999999994</v>
      </c>
      <c r="D27" s="56">
        <f t="shared" si="7"/>
        <v>-85.482999999999947</v>
      </c>
      <c r="E27" s="56">
        <f t="shared" si="7"/>
        <v>37.063999999999965</v>
      </c>
      <c r="F27" s="56">
        <f t="shared" si="7"/>
        <v>85.913999999999987</v>
      </c>
      <c r="G27" s="56">
        <f t="shared" si="7"/>
        <v>-50.735999999999876</v>
      </c>
      <c r="H27" s="56">
        <f t="shared" si="7"/>
        <v>84.916000000000167</v>
      </c>
      <c r="I27" s="56">
        <f t="shared" si="7"/>
        <v>48.638999999999896</v>
      </c>
      <c r="J27" s="56">
        <f t="shared" si="7"/>
        <v>-39.480000000000018</v>
      </c>
      <c r="K27" s="56">
        <f t="shared" si="7"/>
        <v>157.44100000000003</v>
      </c>
      <c r="L27" s="56">
        <f t="shared" si="7"/>
        <v>10.750999999999863</v>
      </c>
      <c r="M27" s="56">
        <f t="shared" si="7"/>
        <v>-66.47199999999998</v>
      </c>
      <c r="N27" s="54">
        <f t="shared" si="3"/>
        <v>311.54099999999994</v>
      </c>
    </row>
    <row r="28" spans="1:14" x14ac:dyDescent="0.25">
      <c r="A28" s="49" t="s">
        <v>79</v>
      </c>
      <c r="B28" s="56">
        <f t="shared" ref="B28:M28" si="8">B20-B12</f>
        <v>96.88799999999992</v>
      </c>
      <c r="C28" s="56">
        <f t="shared" si="8"/>
        <v>147.41999999999985</v>
      </c>
      <c r="D28" s="56">
        <f t="shared" si="8"/>
        <v>-41.496000000000095</v>
      </c>
      <c r="E28" s="56">
        <f t="shared" si="8"/>
        <v>106.72199999999998</v>
      </c>
      <c r="F28" s="56">
        <f t="shared" si="8"/>
        <v>-158.59799999999996</v>
      </c>
      <c r="G28" s="56">
        <f t="shared" si="8"/>
        <v>68.301999999999907</v>
      </c>
      <c r="H28" s="56">
        <f t="shared" si="8"/>
        <v>67.392000000000053</v>
      </c>
      <c r="I28" s="56">
        <f t="shared" si="8"/>
        <v>-11.552000000000021</v>
      </c>
      <c r="J28" s="56">
        <f t="shared" si="8"/>
        <v>51.840000000000146</v>
      </c>
      <c r="K28" s="56">
        <f t="shared" si="8"/>
        <v>26.026000000000067</v>
      </c>
      <c r="L28" s="56">
        <f t="shared" si="8"/>
        <v>-37.146000000000072</v>
      </c>
      <c r="M28" s="56">
        <f t="shared" si="8"/>
        <v>176.375</v>
      </c>
      <c r="N28" s="54">
        <f t="shared" si="3"/>
        <v>492.17299999999977</v>
      </c>
    </row>
    <row r="30" spans="1:14" ht="15.75" customHeight="1" x14ac:dyDescent="0.25">
      <c r="A30" s="31" t="s">
        <v>82</v>
      </c>
      <c r="B30" s="30" t="s">
        <v>60</v>
      </c>
      <c r="C30" s="30" t="s">
        <v>61</v>
      </c>
      <c r="D30" s="30" t="s">
        <v>62</v>
      </c>
      <c r="E30" s="30" t="s">
        <v>63</v>
      </c>
      <c r="F30" s="30" t="s">
        <v>64</v>
      </c>
      <c r="G30" s="30" t="s">
        <v>65</v>
      </c>
      <c r="H30" s="30" t="s">
        <v>66</v>
      </c>
      <c r="I30" s="30" t="s">
        <v>67</v>
      </c>
      <c r="J30" s="30" t="s">
        <v>68</v>
      </c>
      <c r="K30" s="30" t="s">
        <v>69</v>
      </c>
      <c r="L30" s="30" t="s">
        <v>70</v>
      </c>
      <c r="M30" s="30" t="s">
        <v>71</v>
      </c>
      <c r="N30" s="30" t="s">
        <v>72</v>
      </c>
    </row>
    <row r="31" spans="1:14" x14ac:dyDescent="0.25">
      <c r="A31" s="49" t="s">
        <v>74</v>
      </c>
      <c r="B31" s="57">
        <f t="shared" ref="B31:N31" si="9">IFERROR(B23/B7,0)</f>
        <v>8.2000000000000087E-2</v>
      </c>
      <c r="C31" s="57">
        <f t="shared" si="9"/>
        <v>-2.3999999999999959E-2</v>
      </c>
      <c r="D31" s="57">
        <f t="shared" si="9"/>
        <v>6.6999999999999865E-2</v>
      </c>
      <c r="E31" s="57">
        <f t="shared" si="9"/>
        <v>1.099999999999988E-2</v>
      </c>
      <c r="F31" s="57">
        <f t="shared" si="9"/>
        <v>9.0999999999999956E-2</v>
      </c>
      <c r="G31" s="57">
        <f t="shared" si="9"/>
        <v>-1.8000000000000023E-2</v>
      </c>
      <c r="H31" s="57">
        <f t="shared" si="9"/>
        <v>4.2999999999999899E-2</v>
      </c>
      <c r="I31" s="57">
        <f t="shared" si="9"/>
        <v>-5.199999999999997E-2</v>
      </c>
      <c r="J31" s="57">
        <f t="shared" si="9"/>
        <v>2.7999999999999945E-2</v>
      </c>
      <c r="K31" s="57">
        <f t="shared" si="9"/>
        <v>-1.9000000000000006E-2</v>
      </c>
      <c r="L31" s="57">
        <f t="shared" si="9"/>
        <v>5.4999999999999959E-2</v>
      </c>
      <c r="M31" s="57">
        <f t="shared" si="9"/>
        <v>8.6999999999999994E-2</v>
      </c>
      <c r="N31" s="58">
        <f t="shared" si="9"/>
        <v>3.9584439705578837E-2</v>
      </c>
    </row>
    <row r="32" spans="1:14" x14ac:dyDescent="0.25">
      <c r="A32" s="49" t="s">
        <v>75</v>
      </c>
      <c r="B32" s="57">
        <f t="shared" ref="B32:N32" si="10">IFERROR(B24/B8,0)</f>
        <v>0.11499999999999999</v>
      </c>
      <c r="C32" s="57">
        <f t="shared" si="10"/>
        <v>3.1999999999999973E-2</v>
      </c>
      <c r="D32" s="57">
        <f t="shared" si="10"/>
        <v>-4.0999999999999974E-2</v>
      </c>
      <c r="E32" s="57">
        <f t="shared" si="10"/>
        <v>7.8000000000000042E-2</v>
      </c>
      <c r="F32" s="57">
        <f t="shared" si="10"/>
        <v>1.8999999999999909E-2</v>
      </c>
      <c r="G32" s="57">
        <f t="shared" si="10"/>
        <v>-6.3000000000000014E-2</v>
      </c>
      <c r="H32" s="57">
        <f t="shared" si="10"/>
        <v>9.4000000000000028E-2</v>
      </c>
      <c r="I32" s="57">
        <f t="shared" si="10"/>
        <v>2.0999999999999942E-2</v>
      </c>
      <c r="J32" s="57">
        <f t="shared" si="10"/>
        <v>-3.7999999999999999E-2</v>
      </c>
      <c r="K32" s="57">
        <f t="shared" si="10"/>
        <v>4.699999999999991E-2</v>
      </c>
      <c r="L32" s="57">
        <f t="shared" si="10"/>
        <v>-1.1999999999999948E-2</v>
      </c>
      <c r="M32" s="57">
        <f t="shared" si="10"/>
        <v>3.299999999999996E-2</v>
      </c>
      <c r="N32" s="58">
        <f t="shared" si="10"/>
        <v>1.8441102257636111E-2</v>
      </c>
    </row>
    <row r="33" spans="1:14" x14ac:dyDescent="0.25">
      <c r="A33" s="49" t="s">
        <v>76</v>
      </c>
      <c r="B33" s="57">
        <f t="shared" ref="B33:N33" si="11">IFERROR(B25/B9,0)</f>
        <v>-2.7000000000000045E-2</v>
      </c>
      <c r="C33" s="57">
        <f t="shared" si="11"/>
        <v>8.8000000000000106E-2</v>
      </c>
      <c r="D33" s="57">
        <f t="shared" si="11"/>
        <v>5.4000000000000048E-2</v>
      </c>
      <c r="E33" s="57">
        <f t="shared" si="11"/>
        <v>-1.9000000000000059E-2</v>
      </c>
      <c r="F33" s="57">
        <f t="shared" si="11"/>
        <v>0.10300000000000002</v>
      </c>
      <c r="G33" s="57">
        <f t="shared" si="11"/>
        <v>4.0999999999999877E-2</v>
      </c>
      <c r="H33" s="57">
        <f t="shared" si="11"/>
        <v>-3.3000000000000008E-2</v>
      </c>
      <c r="I33" s="57">
        <f t="shared" si="11"/>
        <v>7.6000000000000109E-2</v>
      </c>
      <c r="J33" s="57">
        <f t="shared" si="11"/>
        <v>1.6999999999999831E-2</v>
      </c>
      <c r="K33" s="57">
        <f t="shared" si="11"/>
        <v>-4.3999999999999977E-2</v>
      </c>
      <c r="L33" s="57">
        <f t="shared" si="11"/>
        <v>6.200000000000002E-2</v>
      </c>
      <c r="M33" s="57">
        <f t="shared" si="11"/>
        <v>8.999999999999897E-3</v>
      </c>
      <c r="N33" s="58">
        <f t="shared" si="11"/>
        <v>2.3059186257776785E-2</v>
      </c>
    </row>
    <row r="34" spans="1:14" x14ac:dyDescent="0.25">
      <c r="A34" s="49" t="s">
        <v>77</v>
      </c>
      <c r="B34" s="57">
        <f t="shared" ref="B34:N34" si="12">IFERROR(B26/B10,0)</f>
        <v>3.8999999999999951E-2</v>
      </c>
      <c r="C34" s="57">
        <f t="shared" si="12"/>
        <v>-5.1000000000000066E-2</v>
      </c>
      <c r="D34" s="57">
        <f t="shared" si="12"/>
        <v>0.11200000000000002</v>
      </c>
      <c r="E34" s="57">
        <f t="shared" si="12"/>
        <v>2.2999999999999958E-2</v>
      </c>
      <c r="F34" s="57">
        <f t="shared" si="12"/>
        <v>-1.600000000000008E-2</v>
      </c>
      <c r="G34" s="57">
        <f t="shared" si="12"/>
        <v>8.4000000000000033E-2</v>
      </c>
      <c r="H34" s="57">
        <f t="shared" si="12"/>
        <v>2.6999999999999958E-2</v>
      </c>
      <c r="I34" s="57">
        <f t="shared" si="12"/>
        <v>-3.8999999999999986E-2</v>
      </c>
      <c r="J34" s="57">
        <f t="shared" si="12"/>
        <v>9.2999999999999888E-2</v>
      </c>
      <c r="K34" s="57">
        <f t="shared" si="12"/>
        <v>1.099999999999993E-2</v>
      </c>
      <c r="L34" s="57">
        <f t="shared" si="12"/>
        <v>-2.8000000000000039E-2</v>
      </c>
      <c r="M34" s="57">
        <f t="shared" si="12"/>
        <v>6.499999999999985E-2</v>
      </c>
      <c r="N34" s="58">
        <f t="shared" si="12"/>
        <v>2.5991036871053121E-2</v>
      </c>
    </row>
    <row r="35" spans="1:14" x14ac:dyDescent="0.25">
      <c r="A35" s="49" t="s">
        <v>78</v>
      </c>
      <c r="B35" s="57">
        <f t="shared" ref="B35:N35" si="13">IFERROR(B27/B11,0)</f>
        <v>6.6999999999999948E-2</v>
      </c>
      <c r="C35" s="57">
        <f t="shared" si="13"/>
        <v>1.799999999999995E-2</v>
      </c>
      <c r="D35" s="57">
        <f t="shared" si="13"/>
        <v>-7.2999999999999954E-2</v>
      </c>
      <c r="E35" s="57">
        <f t="shared" si="13"/>
        <v>4.099999999999996E-2</v>
      </c>
      <c r="F35" s="57">
        <f t="shared" si="13"/>
        <v>8.5999999999999993E-2</v>
      </c>
      <c r="G35" s="57">
        <f t="shared" si="13"/>
        <v>-2.3999999999999942E-2</v>
      </c>
      <c r="H35" s="57">
        <f t="shared" si="13"/>
        <v>5.2000000000000102E-2</v>
      </c>
      <c r="I35" s="57">
        <f t="shared" si="13"/>
        <v>3.0999999999999934E-2</v>
      </c>
      <c r="J35" s="57">
        <f t="shared" si="13"/>
        <v>-4.7000000000000021E-2</v>
      </c>
      <c r="K35" s="57">
        <f t="shared" si="13"/>
        <v>8.9000000000000024E-2</v>
      </c>
      <c r="L35" s="57">
        <f t="shared" si="13"/>
        <v>1.2999999999999835E-2</v>
      </c>
      <c r="M35" s="57">
        <f t="shared" si="13"/>
        <v>-5.599999999999998E-2</v>
      </c>
      <c r="N35" s="58">
        <f t="shared" si="13"/>
        <v>1.9732771725361031E-2</v>
      </c>
    </row>
    <row r="36" spans="1:14" x14ac:dyDescent="0.25">
      <c r="A36" s="49" t="s">
        <v>79</v>
      </c>
      <c r="B36" s="57">
        <f t="shared" ref="B36:N36" si="14">IFERROR(B28/B12,0)</f>
        <v>4.3999999999999963E-2</v>
      </c>
      <c r="C36" s="57">
        <f t="shared" si="14"/>
        <v>9.09999999999999E-2</v>
      </c>
      <c r="D36" s="57">
        <f t="shared" si="14"/>
        <v>-2.8000000000000063E-2</v>
      </c>
      <c r="E36" s="57">
        <f t="shared" si="14"/>
        <v>6.2999999999999987E-2</v>
      </c>
      <c r="F36" s="57">
        <f t="shared" si="14"/>
        <v>-8.0999999999999975E-2</v>
      </c>
      <c r="G36" s="57">
        <f t="shared" si="14"/>
        <v>3.699999999999995E-2</v>
      </c>
      <c r="H36" s="57">
        <f t="shared" si="14"/>
        <v>7.200000000000005E-2</v>
      </c>
      <c r="I36" s="57">
        <f t="shared" si="14"/>
        <v>-1.9000000000000034E-2</v>
      </c>
      <c r="J36" s="57">
        <f t="shared" si="14"/>
        <v>4.8000000000000133E-2</v>
      </c>
      <c r="K36" s="57">
        <f t="shared" si="14"/>
        <v>2.6000000000000068E-2</v>
      </c>
      <c r="L36" s="57">
        <f t="shared" si="14"/>
        <v>-4.1000000000000078E-2</v>
      </c>
      <c r="M36" s="57">
        <f t="shared" si="14"/>
        <v>8.3000000000000004E-2</v>
      </c>
      <c r="N36" s="58">
        <f t="shared" si="14"/>
        <v>2.8191831824951299E-2</v>
      </c>
    </row>
    <row r="38" spans="1:14" ht="30" customHeight="1" x14ac:dyDescent="0.25">
      <c r="A38" s="117" t="s">
        <v>85</v>
      </c>
      <c r="B38" s="117"/>
      <c r="C38" s="117"/>
      <c r="D38" s="117"/>
      <c r="E38" s="117"/>
      <c r="F38" s="117"/>
      <c r="G38" s="117"/>
      <c r="H38" s="117"/>
      <c r="I38" s="117"/>
      <c r="J38" s="117"/>
      <c r="K38" s="117"/>
      <c r="L38" s="117"/>
      <c r="M38" s="117"/>
      <c r="N38" s="117"/>
    </row>
  </sheetData>
  <mergeCells count="3">
    <mergeCell ref="A1:J1"/>
    <mergeCell ref="A2:J2"/>
    <mergeCell ref="A38:N3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8"/>
  <sheetViews>
    <sheetView topLeftCell="A23" zoomScaleNormal="100" workbookViewId="0">
      <selection activeCell="Q8" sqref="Q8"/>
    </sheetView>
  </sheetViews>
  <sheetFormatPr defaultColWidth="8.7109375" defaultRowHeight="15" x14ac:dyDescent="0.25"/>
  <cols>
    <col min="1" max="1" width="22" customWidth="1"/>
    <col min="2" max="14" width="10" customWidth="1"/>
  </cols>
  <sheetData>
    <row r="1" spans="1:14" ht="27.75" customHeight="1" x14ac:dyDescent="0.25">
      <c r="A1" s="128" t="s">
        <v>56</v>
      </c>
      <c r="B1" s="128"/>
      <c r="C1" s="128"/>
      <c r="D1" s="128"/>
      <c r="E1" s="128"/>
      <c r="F1" s="128"/>
      <c r="G1" s="128"/>
      <c r="H1" s="128"/>
      <c r="I1" s="128"/>
      <c r="J1" s="128"/>
      <c r="K1" s="59"/>
      <c r="L1" s="59"/>
      <c r="M1" s="59"/>
      <c r="N1" s="59"/>
    </row>
    <row r="2" spans="1:14" ht="15.75" customHeight="1" x14ac:dyDescent="0.25">
      <c r="A2" s="130" t="s">
        <v>86</v>
      </c>
      <c r="B2" s="130"/>
      <c r="C2" s="130"/>
      <c r="D2" s="130"/>
      <c r="E2" s="130"/>
      <c r="F2" s="130"/>
      <c r="G2" s="130"/>
      <c r="H2" s="130"/>
      <c r="I2" s="130"/>
      <c r="J2" s="130"/>
      <c r="K2" s="45"/>
      <c r="L2" s="45"/>
      <c r="M2" s="45"/>
      <c r="N2" s="45"/>
    </row>
    <row r="4" spans="1:14" ht="18" customHeight="1" x14ac:dyDescent="0.25">
      <c r="A4" s="46" t="s">
        <v>87</v>
      </c>
      <c r="B4" s="47"/>
      <c r="C4" s="47"/>
      <c r="D4" s="47"/>
      <c r="E4" s="47"/>
      <c r="F4" s="47"/>
      <c r="G4" s="47"/>
      <c r="H4" s="47"/>
      <c r="I4" s="47"/>
      <c r="J4" s="47"/>
      <c r="K4" s="47"/>
      <c r="L4" s="47"/>
      <c r="M4" s="47"/>
      <c r="N4" s="47"/>
    </row>
    <row r="5" spans="1:14" ht="15" customHeight="1" x14ac:dyDescent="0.25">
      <c r="A5" s="30" t="s">
        <v>59</v>
      </c>
      <c r="B5" s="30" t="s">
        <v>60</v>
      </c>
      <c r="C5" s="30" t="s">
        <v>61</v>
      </c>
      <c r="D5" s="30" t="s">
        <v>62</v>
      </c>
      <c r="E5" s="30" t="s">
        <v>63</v>
      </c>
      <c r="F5" s="30" t="s">
        <v>64</v>
      </c>
      <c r="G5" s="30" t="s">
        <v>65</v>
      </c>
      <c r="H5" s="30" t="s">
        <v>66</v>
      </c>
      <c r="I5" s="30" t="s">
        <v>67</v>
      </c>
      <c r="J5" s="30" t="s">
        <v>68</v>
      </c>
      <c r="K5" s="30" t="s">
        <v>69</v>
      </c>
      <c r="L5" s="30" t="s">
        <v>70</v>
      </c>
      <c r="M5" s="30" t="s">
        <v>71</v>
      </c>
      <c r="N5" s="30" t="s">
        <v>72</v>
      </c>
    </row>
    <row r="6" spans="1:14" ht="15.75" customHeight="1" x14ac:dyDescent="0.25">
      <c r="A6" s="31" t="s">
        <v>73</v>
      </c>
      <c r="B6" s="60"/>
      <c r="C6" s="60"/>
      <c r="D6" s="60"/>
      <c r="E6" s="60"/>
      <c r="F6" s="60"/>
      <c r="G6" s="60"/>
      <c r="H6" s="60"/>
      <c r="I6" s="60"/>
      <c r="J6" s="60"/>
      <c r="K6" s="60"/>
      <c r="L6" s="60"/>
      <c r="M6" s="60"/>
      <c r="N6" s="60"/>
    </row>
    <row r="7" spans="1:14" x14ac:dyDescent="0.25">
      <c r="A7" s="49" t="s">
        <v>74</v>
      </c>
      <c r="B7" s="50">
        <v>3078</v>
      </c>
      <c r="C7" s="50">
        <v>1134</v>
      </c>
      <c r="D7" s="50">
        <v>1925</v>
      </c>
      <c r="E7" s="50">
        <v>1761</v>
      </c>
      <c r="F7" s="50">
        <v>3386</v>
      </c>
      <c r="G7" s="50">
        <v>3196</v>
      </c>
      <c r="H7" s="50">
        <v>3877</v>
      </c>
      <c r="I7" s="50">
        <v>1330</v>
      </c>
      <c r="J7" s="50">
        <v>2390</v>
      </c>
      <c r="K7" s="50">
        <v>1150</v>
      </c>
      <c r="L7" s="50">
        <v>1747</v>
      </c>
      <c r="M7" s="50">
        <v>2654</v>
      </c>
      <c r="N7" s="61">
        <f t="shared" ref="N7:N12" si="0">SUM(B7:M7)</f>
        <v>27628</v>
      </c>
    </row>
    <row r="8" spans="1:14" x14ac:dyDescent="0.25">
      <c r="A8" s="49" t="s">
        <v>75</v>
      </c>
      <c r="B8" s="50">
        <v>1139</v>
      </c>
      <c r="C8" s="50">
        <v>1684</v>
      </c>
      <c r="D8" s="50">
        <v>3111</v>
      </c>
      <c r="E8" s="50">
        <v>2779</v>
      </c>
      <c r="F8" s="50">
        <v>1752</v>
      </c>
      <c r="G8" s="50">
        <v>2919</v>
      </c>
      <c r="H8" s="50">
        <v>3616</v>
      </c>
      <c r="I8" s="50">
        <v>1076</v>
      </c>
      <c r="J8" s="50">
        <v>3604</v>
      </c>
      <c r="K8" s="50">
        <v>3264</v>
      </c>
      <c r="L8" s="50">
        <v>2132</v>
      </c>
      <c r="M8" s="50">
        <v>1546</v>
      </c>
      <c r="N8" s="61">
        <f t="shared" si="0"/>
        <v>28622</v>
      </c>
    </row>
    <row r="9" spans="1:14" x14ac:dyDescent="0.25">
      <c r="A9" s="49" t="s">
        <v>76</v>
      </c>
      <c r="B9" s="50">
        <v>4083</v>
      </c>
      <c r="C9" s="50">
        <v>2120</v>
      </c>
      <c r="D9" s="50">
        <v>1349</v>
      </c>
      <c r="E9" s="50">
        <v>1361</v>
      </c>
      <c r="F9" s="50">
        <v>3736</v>
      </c>
      <c r="G9" s="50">
        <v>2965</v>
      </c>
      <c r="H9" s="50">
        <v>3608</v>
      </c>
      <c r="I9" s="50">
        <v>3363</v>
      </c>
      <c r="J9" s="50">
        <v>2751</v>
      </c>
      <c r="K9" s="50">
        <v>4133</v>
      </c>
      <c r="L9" s="50">
        <v>2252</v>
      </c>
      <c r="M9" s="50">
        <v>2801</v>
      </c>
      <c r="N9" s="61">
        <f t="shared" si="0"/>
        <v>34522</v>
      </c>
    </row>
    <row r="10" spans="1:14" x14ac:dyDescent="0.25">
      <c r="A10" s="49" t="s">
        <v>77</v>
      </c>
      <c r="B10" s="50">
        <v>3679</v>
      </c>
      <c r="C10" s="50">
        <v>3011</v>
      </c>
      <c r="D10" s="50">
        <v>3781</v>
      </c>
      <c r="E10" s="50">
        <v>2882</v>
      </c>
      <c r="F10" s="50">
        <v>3284</v>
      </c>
      <c r="G10" s="50">
        <v>1200</v>
      </c>
      <c r="H10" s="50">
        <v>1776</v>
      </c>
      <c r="I10" s="50">
        <v>1971</v>
      </c>
      <c r="J10" s="50">
        <v>1308</v>
      </c>
      <c r="K10" s="50">
        <v>1792</v>
      </c>
      <c r="L10" s="50">
        <v>1374</v>
      </c>
      <c r="M10" s="50">
        <v>1934</v>
      </c>
      <c r="N10" s="61">
        <f t="shared" si="0"/>
        <v>27992</v>
      </c>
    </row>
    <row r="11" spans="1:14" x14ac:dyDescent="0.25">
      <c r="A11" s="49" t="s">
        <v>78</v>
      </c>
      <c r="B11" s="50">
        <v>3066</v>
      </c>
      <c r="C11" s="50">
        <v>2210</v>
      </c>
      <c r="D11" s="50">
        <v>2225</v>
      </c>
      <c r="E11" s="50">
        <v>1718</v>
      </c>
      <c r="F11" s="50">
        <v>1900</v>
      </c>
      <c r="G11" s="50">
        <v>4018</v>
      </c>
      <c r="H11" s="50">
        <v>3105</v>
      </c>
      <c r="I11" s="50">
        <v>2982</v>
      </c>
      <c r="J11" s="50">
        <v>1597</v>
      </c>
      <c r="K11" s="50">
        <v>3362</v>
      </c>
      <c r="L11" s="50">
        <v>1571</v>
      </c>
      <c r="M11" s="50">
        <v>2256</v>
      </c>
      <c r="N11" s="61">
        <f t="shared" si="0"/>
        <v>30010</v>
      </c>
    </row>
    <row r="12" spans="1:14" x14ac:dyDescent="0.25">
      <c r="A12" s="49" t="s">
        <v>79</v>
      </c>
      <c r="B12" s="50">
        <v>4186</v>
      </c>
      <c r="C12" s="50">
        <v>3080</v>
      </c>
      <c r="D12" s="50">
        <v>2817</v>
      </c>
      <c r="E12" s="50">
        <v>3221</v>
      </c>
      <c r="F12" s="50">
        <v>3722</v>
      </c>
      <c r="G12" s="50">
        <v>3509</v>
      </c>
      <c r="H12" s="50">
        <v>1780</v>
      </c>
      <c r="I12" s="50">
        <v>1156</v>
      </c>
      <c r="J12" s="50">
        <v>2053</v>
      </c>
      <c r="K12" s="50">
        <v>1902</v>
      </c>
      <c r="L12" s="50">
        <v>1722</v>
      </c>
      <c r="M12" s="50">
        <v>4038</v>
      </c>
      <c r="N12" s="61">
        <f t="shared" si="0"/>
        <v>33186</v>
      </c>
    </row>
    <row r="13" spans="1:14" x14ac:dyDescent="0.25">
      <c r="A13" s="52"/>
      <c r="B13" s="52"/>
      <c r="C13" s="52"/>
      <c r="D13" s="52"/>
      <c r="E13" s="52"/>
      <c r="F13" s="52"/>
      <c r="G13" s="52"/>
      <c r="H13" s="52"/>
      <c r="I13" s="52"/>
      <c r="J13" s="52"/>
      <c r="K13" s="52"/>
      <c r="L13" s="52"/>
      <c r="M13" s="52"/>
      <c r="N13" s="52"/>
    </row>
    <row r="14" spans="1:14" ht="15.75" customHeight="1" x14ac:dyDescent="0.25">
      <c r="A14" s="35" t="s">
        <v>80</v>
      </c>
      <c r="B14" s="30" t="s">
        <v>60</v>
      </c>
      <c r="C14" s="30" t="s">
        <v>61</v>
      </c>
      <c r="D14" s="30" t="s">
        <v>62</v>
      </c>
      <c r="E14" s="30" t="s">
        <v>63</v>
      </c>
      <c r="F14" s="30" t="s">
        <v>64</v>
      </c>
      <c r="G14" s="30" t="s">
        <v>65</v>
      </c>
      <c r="H14" s="30" t="s">
        <v>66</v>
      </c>
      <c r="I14" s="30" t="s">
        <v>67</v>
      </c>
      <c r="J14" s="30" t="s">
        <v>68</v>
      </c>
      <c r="K14" s="30" t="s">
        <v>69</v>
      </c>
      <c r="L14" s="30" t="s">
        <v>70</v>
      </c>
      <c r="M14" s="30" t="s">
        <v>71</v>
      </c>
      <c r="N14" s="30" t="s">
        <v>72</v>
      </c>
    </row>
    <row r="15" spans="1:14" x14ac:dyDescent="0.25">
      <c r="A15" s="49" t="s">
        <v>74</v>
      </c>
      <c r="B15" s="53">
        <f>B7*(1+0.051)</f>
        <v>3234.9779999999996</v>
      </c>
      <c r="C15" s="53">
        <f>C7*(1+-0.038)</f>
        <v>1090.9079999999999</v>
      </c>
      <c r="D15" s="53">
        <f>D7*(1+0.094)</f>
        <v>2105.9500000000003</v>
      </c>
      <c r="E15" s="53">
        <f>E7*(1+0.027)</f>
        <v>1808.5469999999998</v>
      </c>
      <c r="F15" s="53">
        <f>F7*(1+-0.065)</f>
        <v>3165.9100000000003</v>
      </c>
      <c r="G15" s="53">
        <f>G7*(1+0.083)</f>
        <v>3461.268</v>
      </c>
      <c r="H15" s="53">
        <f>H7*(1+0.016)</f>
        <v>3939.0320000000002</v>
      </c>
      <c r="I15" s="53">
        <f>I7*(1+-0.042)</f>
        <v>1274.1399999999999</v>
      </c>
      <c r="J15" s="53">
        <f>J7*(1+0.071)</f>
        <v>2559.69</v>
      </c>
      <c r="K15" s="53">
        <f>K7*(1+0.033)</f>
        <v>1187.9499999999998</v>
      </c>
      <c r="L15" s="53">
        <f>L7*(1+-0.019)</f>
        <v>1713.807</v>
      </c>
      <c r="M15" s="53">
        <f>M7*(1+0.112)</f>
        <v>2951.248</v>
      </c>
      <c r="N15" s="54">
        <f t="shared" ref="N15:N20" si="1">SUM(B15:M15)</f>
        <v>28493.428</v>
      </c>
    </row>
    <row r="16" spans="1:14" x14ac:dyDescent="0.25">
      <c r="A16" s="49" t="s">
        <v>75</v>
      </c>
      <c r="B16" s="53">
        <f>B8*(1+-0.019)</f>
        <v>1117.3589999999999</v>
      </c>
      <c r="C16" s="53">
        <f>C8*(1+0.073)</f>
        <v>1806.932</v>
      </c>
      <c r="D16" s="53">
        <f>D8*(1+0.038)</f>
        <v>3229.2180000000003</v>
      </c>
      <c r="E16" s="53">
        <f>E8*(1+-0.054)</f>
        <v>2628.9339999999997</v>
      </c>
      <c r="F16" s="53">
        <f>F8*(1+0.091)</f>
        <v>1911.432</v>
      </c>
      <c r="G16" s="53">
        <f>G8*(1+0.022)</f>
        <v>2983.2179999999998</v>
      </c>
      <c r="H16" s="53">
        <f>H8*(1+0.067)</f>
        <v>3858.2719999999999</v>
      </c>
      <c r="I16" s="53">
        <f>I8*(1+-0.031)</f>
        <v>1042.644</v>
      </c>
      <c r="J16" s="53">
        <f>J8*(1+0.048)</f>
        <v>3776.9920000000002</v>
      </c>
      <c r="K16" s="53">
        <f>K8*(1+0.016)</f>
        <v>3316.2240000000002</v>
      </c>
      <c r="L16" s="53">
        <f>L8*(1+-0.083)</f>
        <v>1955.0440000000001</v>
      </c>
      <c r="M16" s="53">
        <f>M8*(1+0.044)</f>
        <v>1614.0240000000001</v>
      </c>
      <c r="N16" s="54">
        <f t="shared" si="1"/>
        <v>29240.293000000009</v>
      </c>
    </row>
    <row r="17" spans="1:14" x14ac:dyDescent="0.25">
      <c r="A17" s="49" t="s">
        <v>76</v>
      </c>
      <c r="B17" s="53">
        <f>B9*(1+0.087)</f>
        <v>4438.2209999999995</v>
      </c>
      <c r="C17" s="53">
        <f>C9*(1+0.014)</f>
        <v>2149.6799999999998</v>
      </c>
      <c r="D17" s="53">
        <f>D9*(1+-0.052)</f>
        <v>1278.8519999999999</v>
      </c>
      <c r="E17" s="53">
        <f>E9*(1+0.096)</f>
        <v>1491.6560000000002</v>
      </c>
      <c r="F17" s="53">
        <f>F9*(1+0.028)</f>
        <v>3840.6080000000002</v>
      </c>
      <c r="G17" s="53">
        <f>G9*(1+-0.037)</f>
        <v>2855.2950000000001</v>
      </c>
      <c r="H17" s="53">
        <f>H9*(1+0.081)</f>
        <v>3900.248</v>
      </c>
      <c r="I17" s="53">
        <f>I9*(1+0.043)</f>
        <v>3507.6089999999999</v>
      </c>
      <c r="J17" s="53">
        <f>J9*(1+-0.026)</f>
        <v>2679.4740000000002</v>
      </c>
      <c r="K17" s="53">
        <f>K9*(1+0.058)</f>
        <v>4372.7139999999999</v>
      </c>
      <c r="L17" s="53">
        <f>L9*(1+0.009)</f>
        <v>2272.2679999999996</v>
      </c>
      <c r="M17" s="53">
        <f>M9*(1+-0.071)</f>
        <v>2602.1290000000004</v>
      </c>
      <c r="N17" s="54">
        <f t="shared" si="1"/>
        <v>35388.754000000001</v>
      </c>
    </row>
    <row r="18" spans="1:14" x14ac:dyDescent="0.25">
      <c r="A18" s="49" t="s">
        <v>77</v>
      </c>
      <c r="B18" s="53">
        <f>B10*(1+0.023)</f>
        <v>3763.6169999999997</v>
      </c>
      <c r="C18" s="53">
        <f>C10*(1+0.104)</f>
        <v>3324.1440000000002</v>
      </c>
      <c r="D18" s="53">
        <f>D10*(1+-0.041)</f>
        <v>3625.9789999999998</v>
      </c>
      <c r="E18" s="53">
        <f>E10*(1+0.017)</f>
        <v>2930.9939999999997</v>
      </c>
      <c r="F18" s="53">
        <f>F10*(1+0.076)</f>
        <v>3533.5840000000003</v>
      </c>
      <c r="G18" s="53">
        <f>G10*(1+-0.053)</f>
        <v>1136.3999999999999</v>
      </c>
      <c r="H18" s="53">
        <f>H10*(1+0.039)</f>
        <v>1845.2639999999999</v>
      </c>
      <c r="I18" s="53">
        <f>I10*(1+0.088)</f>
        <v>2144.4480000000003</v>
      </c>
      <c r="J18" s="53">
        <f>J10*(1+-0.024)</f>
        <v>1276.6079999999999</v>
      </c>
      <c r="K18" s="53">
        <f>K10*(1+0.047)</f>
        <v>1876.2239999999999</v>
      </c>
      <c r="L18" s="53">
        <f>L10*(1+0.031)</f>
        <v>1416.5939999999998</v>
      </c>
      <c r="M18" s="53">
        <f>M10*(1+-0.068)</f>
        <v>1802.4879999999998</v>
      </c>
      <c r="N18" s="54">
        <f t="shared" si="1"/>
        <v>28676.344000000001</v>
      </c>
    </row>
    <row r="19" spans="1:14" x14ac:dyDescent="0.25">
      <c r="A19" s="49" t="s">
        <v>78</v>
      </c>
      <c r="B19" s="53">
        <f>B11*(1+0.094)</f>
        <v>3354.2040000000002</v>
      </c>
      <c r="C19" s="53">
        <f>C11*(1+-0.027)</f>
        <v>2150.33</v>
      </c>
      <c r="D19" s="53">
        <f>D11*(1+0.063)</f>
        <v>2365.1749999999997</v>
      </c>
      <c r="E19" s="53">
        <f>E11*(1+0.038)</f>
        <v>1783.2840000000001</v>
      </c>
      <c r="F19" s="53">
        <f>F11*(1+-0.091)</f>
        <v>1727.1000000000001</v>
      </c>
      <c r="G19" s="53">
        <f>G11*(1+0.017)</f>
        <v>4086.3059999999996</v>
      </c>
      <c r="H19" s="53">
        <f>H11*(1+0.052)</f>
        <v>3266.46</v>
      </c>
      <c r="I19" s="53">
        <f>I11*(1+-0.044)</f>
        <v>2850.7919999999999</v>
      </c>
      <c r="J19" s="53">
        <f>J11*(1+0.083)</f>
        <v>1729.5509999999999</v>
      </c>
      <c r="K19" s="53">
        <f>K11*(1+0.021)</f>
        <v>3432.6019999999999</v>
      </c>
      <c r="L19" s="53">
        <f>L11*(1+0.068)</f>
        <v>1677.8280000000002</v>
      </c>
      <c r="M19" s="53">
        <f>M11*(1+-0.039)</f>
        <v>2168.0160000000001</v>
      </c>
      <c r="N19" s="54">
        <f t="shared" si="1"/>
        <v>30591.647999999997</v>
      </c>
    </row>
    <row r="20" spans="1:14" x14ac:dyDescent="0.25">
      <c r="A20" s="49" t="s">
        <v>79</v>
      </c>
      <c r="B20" s="53">
        <f>B12*(1+-0.033)</f>
        <v>4047.8620000000001</v>
      </c>
      <c r="C20" s="53">
        <f>C12*(1+0.086)</f>
        <v>3344.88</v>
      </c>
      <c r="D20" s="53">
        <f>D12*(1+0.021)</f>
        <v>2876.1569999999997</v>
      </c>
      <c r="E20" s="53">
        <f>E12*(1+0.057)</f>
        <v>3404.5969999999998</v>
      </c>
      <c r="F20" s="53">
        <f>F12*(1+-0.048)</f>
        <v>3543.3440000000001</v>
      </c>
      <c r="G20" s="53">
        <f>G12*(1+0.093)</f>
        <v>3835.337</v>
      </c>
      <c r="H20" s="53">
        <f>H12*(1+0.014)</f>
        <v>1804.92</v>
      </c>
      <c r="I20" s="53">
        <f>I12*(1+-0.062)</f>
        <v>1084.328</v>
      </c>
      <c r="J20" s="53">
        <f>J12*(1+0.077)</f>
        <v>2211.0810000000001</v>
      </c>
      <c r="K20" s="53">
        <f>K12*(1+0.039)</f>
        <v>1976.1779999999999</v>
      </c>
      <c r="L20" s="53">
        <f>L12*(1+-0.017)</f>
        <v>1692.7259999999999</v>
      </c>
      <c r="M20" s="53">
        <f>M12*(1+0.101)</f>
        <v>4445.8379999999997</v>
      </c>
      <c r="N20" s="54">
        <f t="shared" si="1"/>
        <v>34267.248</v>
      </c>
    </row>
    <row r="21" spans="1:14" x14ac:dyDescent="0.25">
      <c r="A21" s="52"/>
      <c r="B21" s="52"/>
      <c r="C21" s="52"/>
      <c r="D21" s="52"/>
      <c r="E21" s="52"/>
      <c r="F21" s="52"/>
      <c r="G21" s="52"/>
      <c r="H21" s="52"/>
      <c r="I21" s="52"/>
      <c r="J21" s="52"/>
      <c r="K21" s="52"/>
      <c r="L21" s="52"/>
      <c r="M21" s="52"/>
      <c r="N21" s="52"/>
    </row>
    <row r="22" spans="1:14" ht="15.75" customHeight="1" x14ac:dyDescent="0.25">
      <c r="A22" s="55" t="s">
        <v>81</v>
      </c>
      <c r="B22" s="30" t="s">
        <v>60</v>
      </c>
      <c r="C22" s="30" t="s">
        <v>61</v>
      </c>
      <c r="D22" s="30" t="s">
        <v>62</v>
      </c>
      <c r="E22" s="30" t="s">
        <v>63</v>
      </c>
      <c r="F22" s="30" t="s">
        <v>64</v>
      </c>
      <c r="G22" s="30" t="s">
        <v>65</v>
      </c>
      <c r="H22" s="30" t="s">
        <v>66</v>
      </c>
      <c r="I22" s="30" t="s">
        <v>67</v>
      </c>
      <c r="J22" s="30" t="s">
        <v>68</v>
      </c>
      <c r="K22" s="30" t="s">
        <v>69</v>
      </c>
      <c r="L22" s="30" t="s">
        <v>70</v>
      </c>
      <c r="M22" s="30" t="s">
        <v>71</v>
      </c>
      <c r="N22" s="30" t="s">
        <v>72</v>
      </c>
    </row>
    <row r="23" spans="1:14" x14ac:dyDescent="0.25">
      <c r="A23" s="49" t="s">
        <v>74</v>
      </c>
      <c r="B23" s="56">
        <f t="shared" ref="B23:M23" si="2">B15-B7</f>
        <v>156.97799999999961</v>
      </c>
      <c r="C23" s="56">
        <f t="shared" si="2"/>
        <v>-43.092000000000098</v>
      </c>
      <c r="D23" s="56">
        <f t="shared" si="2"/>
        <v>180.95000000000027</v>
      </c>
      <c r="E23" s="56">
        <f t="shared" si="2"/>
        <v>47.546999999999798</v>
      </c>
      <c r="F23" s="56">
        <f t="shared" si="2"/>
        <v>-220.08999999999969</v>
      </c>
      <c r="G23" s="56">
        <f t="shared" si="2"/>
        <v>265.26800000000003</v>
      </c>
      <c r="H23" s="56">
        <f t="shared" si="2"/>
        <v>62.032000000000153</v>
      </c>
      <c r="I23" s="56">
        <f t="shared" si="2"/>
        <v>-55.860000000000127</v>
      </c>
      <c r="J23" s="56">
        <f t="shared" si="2"/>
        <v>169.69000000000005</v>
      </c>
      <c r="K23" s="56">
        <f t="shared" si="2"/>
        <v>37.949999999999818</v>
      </c>
      <c r="L23" s="56">
        <f t="shared" si="2"/>
        <v>-33.192999999999984</v>
      </c>
      <c r="M23" s="56">
        <f t="shared" si="2"/>
        <v>297.24800000000005</v>
      </c>
      <c r="N23" s="54">
        <f t="shared" ref="N23:N28" si="3">SUM(B23:M23)</f>
        <v>865.42799999999988</v>
      </c>
    </row>
    <row r="24" spans="1:14" x14ac:dyDescent="0.25">
      <c r="A24" s="49" t="s">
        <v>75</v>
      </c>
      <c r="B24" s="56">
        <f t="shared" ref="B24:M24" si="4">B16-B8</f>
        <v>-21.641000000000076</v>
      </c>
      <c r="C24" s="56">
        <f t="shared" si="4"/>
        <v>122.93200000000002</v>
      </c>
      <c r="D24" s="56">
        <f t="shared" si="4"/>
        <v>118.2180000000003</v>
      </c>
      <c r="E24" s="56">
        <f t="shared" si="4"/>
        <v>-150.06600000000026</v>
      </c>
      <c r="F24" s="56">
        <f t="shared" si="4"/>
        <v>159.43200000000002</v>
      </c>
      <c r="G24" s="56">
        <f t="shared" si="4"/>
        <v>64.217999999999847</v>
      </c>
      <c r="H24" s="56">
        <f t="shared" si="4"/>
        <v>242.27199999999993</v>
      </c>
      <c r="I24" s="56">
        <f t="shared" si="4"/>
        <v>-33.355999999999995</v>
      </c>
      <c r="J24" s="56">
        <f t="shared" si="4"/>
        <v>172.99200000000019</v>
      </c>
      <c r="K24" s="56">
        <f t="shared" si="4"/>
        <v>52.22400000000016</v>
      </c>
      <c r="L24" s="56">
        <f t="shared" si="4"/>
        <v>-176.9559999999999</v>
      </c>
      <c r="M24" s="56">
        <f t="shared" si="4"/>
        <v>68.024000000000115</v>
      </c>
      <c r="N24" s="54">
        <f t="shared" si="3"/>
        <v>618.29300000000035</v>
      </c>
    </row>
    <row r="25" spans="1:14" x14ac:dyDescent="0.25">
      <c r="A25" s="49" t="s">
        <v>76</v>
      </c>
      <c r="B25" s="56">
        <f t="shared" ref="B25:M25" si="5">B17-B9</f>
        <v>355.22099999999955</v>
      </c>
      <c r="C25" s="56">
        <f t="shared" si="5"/>
        <v>29.679999999999836</v>
      </c>
      <c r="D25" s="56">
        <f t="shared" si="5"/>
        <v>-70.148000000000138</v>
      </c>
      <c r="E25" s="56">
        <f t="shared" si="5"/>
        <v>130.65600000000018</v>
      </c>
      <c r="F25" s="56">
        <f t="shared" si="5"/>
        <v>104.60800000000017</v>
      </c>
      <c r="G25" s="56">
        <f t="shared" si="5"/>
        <v>-109.70499999999993</v>
      </c>
      <c r="H25" s="56">
        <f t="shared" si="5"/>
        <v>292.24800000000005</v>
      </c>
      <c r="I25" s="56">
        <f t="shared" si="5"/>
        <v>144.60899999999992</v>
      </c>
      <c r="J25" s="56">
        <f t="shared" si="5"/>
        <v>-71.52599999999984</v>
      </c>
      <c r="K25" s="56">
        <f t="shared" si="5"/>
        <v>239.71399999999994</v>
      </c>
      <c r="L25" s="56">
        <f t="shared" si="5"/>
        <v>20.267999999999574</v>
      </c>
      <c r="M25" s="56">
        <f t="shared" si="5"/>
        <v>-198.87099999999964</v>
      </c>
      <c r="N25" s="54">
        <f t="shared" si="3"/>
        <v>866.75399999999968</v>
      </c>
    </row>
    <row r="26" spans="1:14" x14ac:dyDescent="0.25">
      <c r="A26" s="49" t="s">
        <v>77</v>
      </c>
      <c r="B26" s="56">
        <f t="shared" ref="B26:M26" si="6">B18-B10</f>
        <v>84.616999999999734</v>
      </c>
      <c r="C26" s="56">
        <f t="shared" si="6"/>
        <v>313.14400000000023</v>
      </c>
      <c r="D26" s="56">
        <f t="shared" si="6"/>
        <v>-155.02100000000019</v>
      </c>
      <c r="E26" s="56">
        <f t="shared" si="6"/>
        <v>48.993999999999687</v>
      </c>
      <c r="F26" s="56">
        <f t="shared" si="6"/>
        <v>249.58400000000029</v>
      </c>
      <c r="G26" s="56">
        <f t="shared" si="6"/>
        <v>-63.600000000000136</v>
      </c>
      <c r="H26" s="56">
        <f t="shared" si="6"/>
        <v>69.263999999999896</v>
      </c>
      <c r="I26" s="56">
        <f t="shared" si="6"/>
        <v>173.44800000000032</v>
      </c>
      <c r="J26" s="56">
        <f t="shared" si="6"/>
        <v>-31.392000000000053</v>
      </c>
      <c r="K26" s="56">
        <f t="shared" si="6"/>
        <v>84.223999999999933</v>
      </c>
      <c r="L26" s="56">
        <f t="shared" si="6"/>
        <v>42.593999999999824</v>
      </c>
      <c r="M26" s="56">
        <f t="shared" si="6"/>
        <v>-131.51200000000017</v>
      </c>
      <c r="N26" s="54">
        <f t="shared" si="3"/>
        <v>684.34399999999937</v>
      </c>
    </row>
    <row r="27" spans="1:14" x14ac:dyDescent="0.25">
      <c r="A27" s="49" t="s">
        <v>78</v>
      </c>
      <c r="B27" s="56">
        <f t="shared" ref="B27:M27" si="7">B19-B11</f>
        <v>288.20400000000018</v>
      </c>
      <c r="C27" s="56">
        <f t="shared" si="7"/>
        <v>-59.670000000000073</v>
      </c>
      <c r="D27" s="56">
        <f t="shared" si="7"/>
        <v>140.17499999999973</v>
      </c>
      <c r="E27" s="56">
        <f t="shared" si="7"/>
        <v>65.284000000000106</v>
      </c>
      <c r="F27" s="56">
        <f t="shared" si="7"/>
        <v>-172.89999999999986</v>
      </c>
      <c r="G27" s="56">
        <f t="shared" si="7"/>
        <v>68.305999999999585</v>
      </c>
      <c r="H27" s="56">
        <f t="shared" si="7"/>
        <v>161.46000000000004</v>
      </c>
      <c r="I27" s="56">
        <f t="shared" si="7"/>
        <v>-131.20800000000008</v>
      </c>
      <c r="J27" s="56">
        <f t="shared" si="7"/>
        <v>132.55099999999993</v>
      </c>
      <c r="K27" s="56">
        <f t="shared" si="7"/>
        <v>70.601999999999862</v>
      </c>
      <c r="L27" s="56">
        <f t="shared" si="7"/>
        <v>106.8280000000002</v>
      </c>
      <c r="M27" s="56">
        <f t="shared" si="7"/>
        <v>-87.983999999999924</v>
      </c>
      <c r="N27" s="54">
        <f t="shared" si="3"/>
        <v>581.64799999999968</v>
      </c>
    </row>
    <row r="28" spans="1:14" x14ac:dyDescent="0.25">
      <c r="A28" s="49" t="s">
        <v>79</v>
      </c>
      <c r="B28" s="56">
        <f t="shared" ref="B28:M28" si="8">B20-B12</f>
        <v>-138.13799999999992</v>
      </c>
      <c r="C28" s="56">
        <f t="shared" si="8"/>
        <v>264.88000000000011</v>
      </c>
      <c r="D28" s="56">
        <f t="shared" si="8"/>
        <v>59.156999999999698</v>
      </c>
      <c r="E28" s="56">
        <f t="shared" si="8"/>
        <v>183.59699999999975</v>
      </c>
      <c r="F28" s="56">
        <f t="shared" si="8"/>
        <v>-178.65599999999995</v>
      </c>
      <c r="G28" s="56">
        <f t="shared" si="8"/>
        <v>326.33699999999999</v>
      </c>
      <c r="H28" s="56">
        <f t="shared" si="8"/>
        <v>24.920000000000073</v>
      </c>
      <c r="I28" s="56">
        <f t="shared" si="8"/>
        <v>-71.672000000000025</v>
      </c>
      <c r="J28" s="56">
        <f t="shared" si="8"/>
        <v>158.08100000000013</v>
      </c>
      <c r="K28" s="56">
        <f t="shared" si="8"/>
        <v>74.177999999999884</v>
      </c>
      <c r="L28" s="56">
        <f t="shared" si="8"/>
        <v>-29.274000000000115</v>
      </c>
      <c r="M28" s="56">
        <f t="shared" si="8"/>
        <v>407.83799999999974</v>
      </c>
      <c r="N28" s="54">
        <f t="shared" si="3"/>
        <v>1081.2479999999994</v>
      </c>
    </row>
    <row r="29" spans="1:14" x14ac:dyDescent="0.25">
      <c r="B29" s="52"/>
      <c r="C29" s="52"/>
      <c r="D29" s="52"/>
      <c r="E29" s="52"/>
      <c r="F29" s="52"/>
      <c r="G29" s="52"/>
      <c r="H29" s="52"/>
      <c r="I29" s="52"/>
      <c r="J29" s="52"/>
      <c r="K29" s="52"/>
      <c r="L29" s="52"/>
      <c r="M29" s="52"/>
      <c r="N29" s="52"/>
    </row>
    <row r="30" spans="1:14" ht="15.75" customHeight="1" x14ac:dyDescent="0.25">
      <c r="A30" s="31" t="s">
        <v>82</v>
      </c>
      <c r="B30" s="30" t="s">
        <v>60</v>
      </c>
      <c r="C30" s="30" t="s">
        <v>61</v>
      </c>
      <c r="D30" s="30" t="s">
        <v>62</v>
      </c>
      <c r="E30" s="30" t="s">
        <v>63</v>
      </c>
      <c r="F30" s="30" t="s">
        <v>64</v>
      </c>
      <c r="G30" s="30" t="s">
        <v>65</v>
      </c>
      <c r="H30" s="30" t="s">
        <v>66</v>
      </c>
      <c r="I30" s="30" t="s">
        <v>67</v>
      </c>
      <c r="J30" s="30" t="s">
        <v>68</v>
      </c>
      <c r="K30" s="30" t="s">
        <v>69</v>
      </c>
      <c r="L30" s="30" t="s">
        <v>70</v>
      </c>
      <c r="M30" s="30" t="s">
        <v>71</v>
      </c>
      <c r="N30" s="30" t="s">
        <v>72</v>
      </c>
    </row>
    <row r="31" spans="1:14" x14ac:dyDescent="0.25">
      <c r="A31" s="49" t="s">
        <v>74</v>
      </c>
      <c r="B31" s="57">
        <f t="shared" ref="B31:N31" si="9">IFERROR(B23/B7,0)</f>
        <v>5.0999999999999872E-2</v>
      </c>
      <c r="C31" s="57">
        <f t="shared" si="9"/>
        <v>-3.8000000000000089E-2</v>
      </c>
      <c r="D31" s="57">
        <f t="shared" si="9"/>
        <v>9.4000000000000139E-2</v>
      </c>
      <c r="E31" s="57">
        <f t="shared" si="9"/>
        <v>2.6999999999999885E-2</v>
      </c>
      <c r="F31" s="57">
        <f t="shared" si="9"/>
        <v>-6.4999999999999905E-2</v>
      </c>
      <c r="G31" s="57">
        <f t="shared" si="9"/>
        <v>8.3000000000000004E-2</v>
      </c>
      <c r="H31" s="57">
        <f t="shared" si="9"/>
        <v>1.6000000000000038E-2</v>
      </c>
      <c r="I31" s="57">
        <f t="shared" si="9"/>
        <v>-4.2000000000000093E-2</v>
      </c>
      <c r="J31" s="57">
        <f t="shared" si="9"/>
        <v>7.1000000000000021E-2</v>
      </c>
      <c r="K31" s="57">
        <f t="shared" si="9"/>
        <v>3.2999999999999842E-2</v>
      </c>
      <c r="L31" s="57">
        <f t="shared" si="9"/>
        <v>-1.8999999999999989E-2</v>
      </c>
      <c r="M31" s="57">
        <f t="shared" si="9"/>
        <v>0.11200000000000002</v>
      </c>
      <c r="N31" s="58">
        <f t="shared" si="9"/>
        <v>3.132430867236137E-2</v>
      </c>
    </row>
    <row r="32" spans="1:14" x14ac:dyDescent="0.25">
      <c r="A32" s="49" t="s">
        <v>75</v>
      </c>
      <c r="B32" s="57">
        <f t="shared" ref="B32:N32" si="10">IFERROR(B24/B8,0)</f>
        <v>-1.9000000000000065E-2</v>
      </c>
      <c r="C32" s="57">
        <f t="shared" si="10"/>
        <v>7.3000000000000009E-2</v>
      </c>
      <c r="D32" s="57">
        <f t="shared" si="10"/>
        <v>3.8000000000000096E-2</v>
      </c>
      <c r="E32" s="57">
        <f t="shared" si="10"/>
        <v>-5.400000000000009E-2</v>
      </c>
      <c r="F32" s="57">
        <f t="shared" si="10"/>
        <v>9.1000000000000011E-2</v>
      </c>
      <c r="G32" s="57">
        <f t="shared" si="10"/>
        <v>2.1999999999999947E-2</v>
      </c>
      <c r="H32" s="57">
        <f t="shared" si="10"/>
        <v>6.6999999999999976E-2</v>
      </c>
      <c r="I32" s="57">
        <f t="shared" si="10"/>
        <v>-3.0999999999999996E-2</v>
      </c>
      <c r="J32" s="57">
        <f t="shared" si="10"/>
        <v>4.800000000000005E-2</v>
      </c>
      <c r="K32" s="57">
        <f t="shared" si="10"/>
        <v>1.6000000000000049E-2</v>
      </c>
      <c r="L32" s="57">
        <f t="shared" si="10"/>
        <v>-8.2999999999999949E-2</v>
      </c>
      <c r="M32" s="57">
        <f t="shared" si="10"/>
        <v>4.4000000000000074E-2</v>
      </c>
      <c r="N32" s="58">
        <f t="shared" si="10"/>
        <v>2.160201942561667E-2</v>
      </c>
    </row>
    <row r="33" spans="1:14" x14ac:dyDescent="0.25">
      <c r="A33" s="49" t="s">
        <v>76</v>
      </c>
      <c r="B33" s="57">
        <f t="shared" ref="B33:N33" si="11">IFERROR(B25/B9,0)</f>
        <v>8.6999999999999883E-2</v>
      </c>
      <c r="C33" s="57">
        <f t="shared" si="11"/>
        <v>1.3999999999999922E-2</v>
      </c>
      <c r="D33" s="57">
        <f t="shared" si="11"/>
        <v>-5.2000000000000102E-2</v>
      </c>
      <c r="E33" s="57">
        <f t="shared" si="11"/>
        <v>9.6000000000000127E-2</v>
      </c>
      <c r="F33" s="57">
        <f t="shared" si="11"/>
        <v>2.8000000000000046E-2</v>
      </c>
      <c r="G33" s="57">
        <f t="shared" si="11"/>
        <v>-3.6999999999999977E-2</v>
      </c>
      <c r="H33" s="57">
        <f t="shared" si="11"/>
        <v>8.1000000000000016E-2</v>
      </c>
      <c r="I33" s="57">
        <f t="shared" si="11"/>
        <v>4.2999999999999976E-2</v>
      </c>
      <c r="J33" s="57">
        <f t="shared" si="11"/>
        <v>-2.5999999999999943E-2</v>
      </c>
      <c r="K33" s="57">
        <f t="shared" si="11"/>
        <v>5.7999999999999989E-2</v>
      </c>
      <c r="L33" s="57">
        <f t="shared" si="11"/>
        <v>8.9999999999998102E-3</v>
      </c>
      <c r="M33" s="57">
        <f t="shared" si="11"/>
        <v>-7.0999999999999869E-2</v>
      </c>
      <c r="N33" s="58">
        <f t="shared" si="11"/>
        <v>2.5107293899542311E-2</v>
      </c>
    </row>
    <row r="34" spans="1:14" x14ac:dyDescent="0.25">
      <c r="A34" s="49" t="s">
        <v>77</v>
      </c>
      <c r="B34" s="57">
        <f t="shared" ref="B34:N34" si="12">IFERROR(B26/B10,0)</f>
        <v>2.2999999999999927E-2</v>
      </c>
      <c r="C34" s="57">
        <f t="shared" si="12"/>
        <v>0.10400000000000008</v>
      </c>
      <c r="D34" s="57">
        <f t="shared" si="12"/>
        <v>-4.100000000000005E-2</v>
      </c>
      <c r="E34" s="57">
        <f t="shared" si="12"/>
        <v>1.699999999999989E-2</v>
      </c>
      <c r="F34" s="57">
        <f t="shared" si="12"/>
        <v>7.6000000000000081E-2</v>
      </c>
      <c r="G34" s="57">
        <f t="shared" si="12"/>
        <v>-5.3000000000000116E-2</v>
      </c>
      <c r="H34" s="57">
        <f t="shared" si="12"/>
        <v>3.8999999999999944E-2</v>
      </c>
      <c r="I34" s="57">
        <f t="shared" si="12"/>
        <v>8.8000000000000161E-2</v>
      </c>
      <c r="J34" s="57">
        <f t="shared" si="12"/>
        <v>-2.4000000000000039E-2</v>
      </c>
      <c r="K34" s="57">
        <f t="shared" si="12"/>
        <v>4.6999999999999965E-2</v>
      </c>
      <c r="L34" s="57">
        <f t="shared" si="12"/>
        <v>3.0999999999999871E-2</v>
      </c>
      <c r="M34" s="57">
        <f t="shared" si="12"/>
        <v>-6.8000000000000088E-2</v>
      </c>
      <c r="N34" s="58">
        <f t="shared" si="12"/>
        <v>2.4447842240640161E-2</v>
      </c>
    </row>
    <row r="35" spans="1:14" x14ac:dyDescent="0.25">
      <c r="A35" s="49" t="s">
        <v>78</v>
      </c>
      <c r="B35" s="57">
        <f t="shared" ref="B35:N35" si="13">IFERROR(B27/B11,0)</f>
        <v>9.4000000000000056E-2</v>
      </c>
      <c r="C35" s="57">
        <f t="shared" si="13"/>
        <v>-2.7000000000000034E-2</v>
      </c>
      <c r="D35" s="57">
        <f t="shared" si="13"/>
        <v>6.2999999999999876E-2</v>
      </c>
      <c r="E35" s="57">
        <f t="shared" si="13"/>
        <v>3.8000000000000062E-2</v>
      </c>
      <c r="F35" s="57">
        <f t="shared" si="13"/>
        <v>-9.0999999999999928E-2</v>
      </c>
      <c r="G35" s="57">
        <f t="shared" si="13"/>
        <v>1.6999999999999897E-2</v>
      </c>
      <c r="H35" s="57">
        <f t="shared" si="13"/>
        <v>5.2000000000000011E-2</v>
      </c>
      <c r="I35" s="57">
        <f t="shared" si="13"/>
        <v>-4.4000000000000025E-2</v>
      </c>
      <c r="J35" s="57">
        <f t="shared" si="13"/>
        <v>8.2999999999999963E-2</v>
      </c>
      <c r="K35" s="57">
        <f t="shared" si="13"/>
        <v>2.099999999999996E-2</v>
      </c>
      <c r="L35" s="57">
        <f t="shared" si="13"/>
        <v>6.800000000000013E-2</v>
      </c>
      <c r="M35" s="57">
        <f t="shared" si="13"/>
        <v>-3.8999999999999965E-2</v>
      </c>
      <c r="N35" s="58">
        <f t="shared" si="13"/>
        <v>1.9381806064645107E-2</v>
      </c>
    </row>
    <row r="36" spans="1:14" x14ac:dyDescent="0.25">
      <c r="A36" s="49" t="s">
        <v>79</v>
      </c>
      <c r="B36" s="57">
        <f t="shared" ref="B36:N36" si="14">IFERROR(B28/B12,0)</f>
        <v>-3.2999999999999981E-2</v>
      </c>
      <c r="C36" s="57">
        <f t="shared" si="14"/>
        <v>8.6000000000000035E-2</v>
      </c>
      <c r="D36" s="57">
        <f t="shared" si="14"/>
        <v>2.0999999999999894E-2</v>
      </c>
      <c r="E36" s="57">
        <f t="shared" si="14"/>
        <v>5.6999999999999926E-2</v>
      </c>
      <c r="F36" s="57">
        <f t="shared" si="14"/>
        <v>-4.7999999999999987E-2</v>
      </c>
      <c r="G36" s="57">
        <f t="shared" si="14"/>
        <v>9.2999999999999999E-2</v>
      </c>
      <c r="H36" s="57">
        <f t="shared" si="14"/>
        <v>1.400000000000004E-2</v>
      </c>
      <c r="I36" s="57">
        <f t="shared" si="14"/>
        <v>-6.200000000000002E-2</v>
      </c>
      <c r="J36" s="57">
        <f t="shared" si="14"/>
        <v>7.7000000000000068E-2</v>
      </c>
      <c r="K36" s="57">
        <f t="shared" si="14"/>
        <v>3.8999999999999937E-2</v>
      </c>
      <c r="L36" s="57">
        <f t="shared" si="14"/>
        <v>-1.7000000000000067E-2</v>
      </c>
      <c r="M36" s="57">
        <f t="shared" si="14"/>
        <v>0.10099999999999994</v>
      </c>
      <c r="N36" s="58">
        <f t="shared" si="14"/>
        <v>3.258145000903994E-2</v>
      </c>
    </row>
    <row r="38" spans="1:14" ht="30" customHeight="1" x14ac:dyDescent="0.25">
      <c r="A38" s="117" t="s">
        <v>85</v>
      </c>
      <c r="B38" s="117"/>
      <c r="C38" s="117"/>
      <c r="D38" s="117"/>
      <c r="E38" s="117"/>
      <c r="F38" s="117"/>
      <c r="G38" s="117"/>
      <c r="H38" s="117"/>
      <c r="I38" s="117"/>
      <c r="J38" s="117"/>
      <c r="K38" s="117"/>
      <c r="L38" s="117"/>
      <c r="M38" s="117"/>
      <c r="N38" s="117"/>
    </row>
  </sheetData>
  <mergeCells count="3">
    <mergeCell ref="A1:J1"/>
    <mergeCell ref="A2:J2"/>
    <mergeCell ref="A38:N3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9"/>
  <sheetViews>
    <sheetView showGridLines="0" zoomScaleNormal="100" workbookViewId="0">
      <selection activeCell="C22" sqref="C22"/>
    </sheetView>
  </sheetViews>
  <sheetFormatPr defaultColWidth="8.7109375" defaultRowHeight="15" x14ac:dyDescent="0.25"/>
  <cols>
    <col min="1" max="1" width="36" customWidth="1"/>
    <col min="2" max="4" width="16" customWidth="1"/>
    <col min="5" max="5" width="69.28515625" customWidth="1"/>
  </cols>
  <sheetData>
    <row r="1" spans="1:9" ht="27.75" customHeight="1" x14ac:dyDescent="0.25">
      <c r="A1" s="131" t="s">
        <v>88</v>
      </c>
      <c r="B1" s="131"/>
      <c r="C1" s="131"/>
      <c r="D1" s="131"/>
      <c r="E1" s="131"/>
    </row>
    <row r="2" spans="1:9" ht="15" customHeight="1" x14ac:dyDescent="0.25">
      <c r="A2" s="29" t="s">
        <v>89</v>
      </c>
    </row>
    <row r="3" spans="1:9" ht="18" customHeight="1" x14ac:dyDescent="0.25">
      <c r="A3" s="62" t="s">
        <v>90</v>
      </c>
    </row>
    <row r="4" spans="1:9" ht="15" customHeight="1" x14ac:dyDescent="0.25">
      <c r="A4" s="63" t="s">
        <v>91</v>
      </c>
      <c r="B4" s="63" t="s">
        <v>92</v>
      </c>
      <c r="C4" s="132" t="s">
        <v>93</v>
      </c>
      <c r="D4" s="132"/>
      <c r="E4" s="132"/>
    </row>
    <row r="5" spans="1:9" ht="15" customHeight="1" x14ac:dyDescent="0.25">
      <c r="A5" s="64" t="s">
        <v>94</v>
      </c>
      <c r="B5" s="65">
        <v>0.62</v>
      </c>
      <c r="C5" s="133" t="s">
        <v>95</v>
      </c>
      <c r="D5" s="133"/>
      <c r="E5" s="133"/>
    </row>
    <row r="6" spans="1:9" ht="15" customHeight="1" x14ac:dyDescent="0.25">
      <c r="A6" s="66" t="s">
        <v>96</v>
      </c>
      <c r="B6" s="67">
        <v>4.2</v>
      </c>
      <c r="C6" s="134" t="s">
        <v>97</v>
      </c>
      <c r="D6" s="134"/>
      <c r="E6" s="134"/>
    </row>
    <row r="7" spans="1:9" ht="15" customHeight="1" x14ac:dyDescent="0.25">
      <c r="A7" s="64" t="s">
        <v>98</v>
      </c>
      <c r="B7" s="65">
        <v>0.85</v>
      </c>
      <c r="C7" s="133" t="s">
        <v>99</v>
      </c>
      <c r="D7" s="133"/>
      <c r="E7" s="133"/>
    </row>
    <row r="8" spans="1:9" ht="15" customHeight="1" x14ac:dyDescent="0.25">
      <c r="A8" s="66" t="s">
        <v>100</v>
      </c>
      <c r="B8" s="65">
        <v>1</v>
      </c>
      <c r="C8" s="134" t="s">
        <v>101</v>
      </c>
      <c r="D8" s="134"/>
      <c r="E8" s="134"/>
    </row>
    <row r="9" spans="1:9" ht="15" customHeight="1" x14ac:dyDescent="0.25">
      <c r="A9" s="64" t="s">
        <v>102</v>
      </c>
      <c r="B9" s="67">
        <v>2.5</v>
      </c>
      <c r="C9" s="133" t="s">
        <v>103</v>
      </c>
      <c r="D9" s="133"/>
      <c r="E9" s="133"/>
    </row>
    <row r="10" spans="1:9" ht="15" customHeight="1" x14ac:dyDescent="0.25">
      <c r="A10" s="66" t="s">
        <v>104</v>
      </c>
      <c r="B10" s="65">
        <v>0.18</v>
      </c>
      <c r="C10" s="134" t="s">
        <v>105</v>
      </c>
      <c r="D10" s="134"/>
      <c r="E10" s="134"/>
    </row>
    <row r="11" spans="1:9" ht="15.75" customHeight="1" x14ac:dyDescent="0.25">
      <c r="A11" s="68" t="s">
        <v>106</v>
      </c>
      <c r="B11" s="69">
        <v>428.6</v>
      </c>
      <c r="C11" s="135" t="s">
        <v>107</v>
      </c>
      <c r="D11" s="135"/>
      <c r="E11" s="135"/>
      <c r="F11" s="71"/>
      <c r="G11" s="71"/>
      <c r="H11" s="71"/>
      <c r="I11" s="71"/>
    </row>
    <row r="12" spans="1:9" ht="15" customHeight="1" x14ac:dyDescent="0.25">
      <c r="A12" s="71"/>
      <c r="B12" s="71"/>
      <c r="C12" s="71"/>
      <c r="D12" s="71"/>
      <c r="E12" s="71"/>
      <c r="F12" s="71"/>
      <c r="G12" s="71"/>
      <c r="H12" s="71"/>
      <c r="I12" s="71"/>
    </row>
    <row r="13" spans="1:9" ht="15.75" customHeight="1" x14ac:dyDescent="0.25">
      <c r="A13" s="136" t="s">
        <v>108</v>
      </c>
      <c r="B13" s="136"/>
      <c r="C13" s="136"/>
      <c r="D13" s="136"/>
      <c r="E13" s="136"/>
      <c r="F13" s="71"/>
      <c r="G13" s="71"/>
      <c r="H13" s="71"/>
      <c r="I13" s="71"/>
    </row>
    <row r="14" spans="1:9" ht="24" customHeight="1" x14ac:dyDescent="0.25">
      <c r="A14" s="72" t="s">
        <v>109</v>
      </c>
      <c r="B14" s="73" t="s">
        <v>110</v>
      </c>
      <c r="C14" s="73" t="s">
        <v>111</v>
      </c>
      <c r="D14" s="73" t="s">
        <v>112</v>
      </c>
      <c r="E14" s="74" t="s">
        <v>93</v>
      </c>
      <c r="F14" s="71"/>
      <c r="G14" s="71"/>
      <c r="H14" s="71"/>
      <c r="I14" s="71"/>
    </row>
    <row r="15" spans="1:9" ht="15.75" customHeight="1" x14ac:dyDescent="0.25">
      <c r="A15" s="75" t="s">
        <v>113</v>
      </c>
      <c r="B15" s="76">
        <v>0.15</v>
      </c>
      <c r="C15" s="76">
        <v>0.12</v>
      </c>
      <c r="D15" s="76">
        <v>0.18</v>
      </c>
      <c r="E15" s="77" t="s">
        <v>114</v>
      </c>
      <c r="F15" s="71"/>
      <c r="G15" s="71"/>
      <c r="H15" s="71"/>
      <c r="I15" s="71"/>
    </row>
    <row r="16" spans="1:9" ht="15.75" customHeight="1" x14ac:dyDescent="0.25">
      <c r="A16" s="75" t="s">
        <v>115</v>
      </c>
      <c r="B16" s="78">
        <f>B15*B31</f>
        <v>21.3</v>
      </c>
      <c r="C16" s="78">
        <f>C15*C31</f>
        <v>21.648</v>
      </c>
      <c r="D16" s="78">
        <f>D15*D31</f>
        <v>37.565999999999995</v>
      </c>
      <c r="E16" s="70" t="s">
        <v>116</v>
      </c>
      <c r="F16" s="71"/>
      <c r="G16" s="71"/>
      <c r="H16" s="71"/>
      <c r="I16" s="71"/>
    </row>
    <row r="17" spans="1:9" ht="15.75" customHeight="1" x14ac:dyDescent="0.25">
      <c r="A17" s="79" t="s">
        <v>117</v>
      </c>
      <c r="B17" s="78">
        <f>B16*0.6</f>
        <v>12.78</v>
      </c>
      <c r="C17" s="78">
        <f>C16*0.6</f>
        <v>12.988799999999999</v>
      </c>
      <c r="D17" s="78">
        <f>D16*0.6</f>
        <v>22.539599999999997</v>
      </c>
      <c r="E17" s="70" t="s">
        <v>118</v>
      </c>
      <c r="F17" s="71"/>
      <c r="G17" s="71"/>
      <c r="H17" s="71"/>
      <c r="I17" s="71"/>
    </row>
    <row r="18" spans="1:9" ht="15.75" customHeight="1" x14ac:dyDescent="0.25">
      <c r="A18" s="79" t="s">
        <v>119</v>
      </c>
      <c r="B18" s="78">
        <f>B16*0.28</f>
        <v>5.9640000000000004</v>
      </c>
      <c r="C18" s="78">
        <f>C16*0.28</f>
        <v>6.0614400000000002</v>
      </c>
      <c r="D18" s="78">
        <f>D16*0.28</f>
        <v>10.51848</v>
      </c>
      <c r="E18" s="70" t="s">
        <v>120</v>
      </c>
      <c r="F18" s="71"/>
      <c r="G18" s="71"/>
      <c r="H18" s="71"/>
      <c r="I18" s="71"/>
    </row>
    <row r="19" spans="1:9" ht="15.75" customHeight="1" x14ac:dyDescent="0.25">
      <c r="A19" s="79" t="s">
        <v>121</v>
      </c>
      <c r="B19" s="78">
        <f>B16*0.12</f>
        <v>2.556</v>
      </c>
      <c r="C19" s="78">
        <f>C16*0.12</f>
        <v>2.5977600000000001</v>
      </c>
      <c r="D19" s="78">
        <f>D16*0.12</f>
        <v>4.5079199999999995</v>
      </c>
      <c r="E19" s="70" t="s">
        <v>122</v>
      </c>
      <c r="F19" s="71"/>
      <c r="G19" s="71"/>
      <c r="H19" s="71"/>
      <c r="I19" s="71"/>
    </row>
    <row r="20" spans="1:9" ht="15" customHeight="1" x14ac:dyDescent="0.25">
      <c r="A20" s="80"/>
      <c r="B20" s="81"/>
      <c r="C20" s="82"/>
      <c r="D20" s="81"/>
      <c r="E20" s="83"/>
      <c r="F20" s="71"/>
      <c r="G20" s="71"/>
      <c r="H20" s="71"/>
      <c r="I20" s="71"/>
    </row>
    <row r="21" spans="1:9" ht="15.75" customHeight="1" x14ac:dyDescent="0.25">
      <c r="A21" s="136" t="s">
        <v>123</v>
      </c>
      <c r="B21" s="136"/>
      <c r="C21" s="136"/>
      <c r="D21" s="136"/>
      <c r="E21" s="136"/>
      <c r="F21" s="71"/>
      <c r="G21" s="71"/>
      <c r="H21" s="71"/>
      <c r="I21" s="71"/>
    </row>
    <row r="22" spans="1:9" ht="24" customHeight="1" x14ac:dyDescent="0.25">
      <c r="A22" s="72" t="s">
        <v>109</v>
      </c>
      <c r="B22" s="73" t="s">
        <v>110</v>
      </c>
      <c r="C22" s="73" t="s">
        <v>111</v>
      </c>
      <c r="D22" s="73" t="s">
        <v>112</v>
      </c>
      <c r="E22" s="74" t="s">
        <v>93</v>
      </c>
      <c r="F22" s="71"/>
      <c r="G22" s="71"/>
      <c r="H22" s="71"/>
      <c r="I22" s="71"/>
    </row>
    <row r="23" spans="1:9" ht="15.75" customHeight="1" x14ac:dyDescent="0.25">
      <c r="A23" s="75" t="s">
        <v>124</v>
      </c>
      <c r="B23" s="84">
        <v>0.6</v>
      </c>
      <c r="C23" s="85">
        <f>$B$7</f>
        <v>0.85</v>
      </c>
      <c r="D23" s="84">
        <v>0.9</v>
      </c>
      <c r="E23" s="77" t="s">
        <v>125</v>
      </c>
      <c r="F23" s="71"/>
      <c r="G23" s="71"/>
      <c r="H23" s="71"/>
      <c r="I23" s="71"/>
    </row>
    <row r="24" spans="1:9" ht="15.75" customHeight="1" x14ac:dyDescent="0.25">
      <c r="A24" s="75" t="s">
        <v>126</v>
      </c>
      <c r="B24" s="84">
        <v>0.75</v>
      </c>
      <c r="C24" s="85">
        <f>$B$7</f>
        <v>0.85</v>
      </c>
      <c r="D24" s="84">
        <v>0.95</v>
      </c>
      <c r="E24" s="77" t="s">
        <v>127</v>
      </c>
      <c r="F24" s="71"/>
      <c r="G24" s="71"/>
      <c r="H24" s="71"/>
      <c r="I24" s="71"/>
    </row>
    <row r="25" spans="1:9" ht="15.75" customHeight="1" x14ac:dyDescent="0.25">
      <c r="A25" s="75" t="s">
        <v>128</v>
      </c>
      <c r="B25" s="84">
        <v>0.9</v>
      </c>
      <c r="C25" s="85">
        <f>$B$8</f>
        <v>1</v>
      </c>
      <c r="D25" s="84">
        <v>1</v>
      </c>
      <c r="E25" s="77" t="s">
        <v>129</v>
      </c>
      <c r="F25" s="71"/>
      <c r="G25" s="71"/>
      <c r="H25" s="71"/>
      <c r="I25" s="71"/>
    </row>
    <row r="26" spans="1:9" ht="15.75" customHeight="1" x14ac:dyDescent="0.25">
      <c r="A26" s="75" t="s">
        <v>130</v>
      </c>
      <c r="B26" s="84">
        <v>4</v>
      </c>
      <c r="C26" s="85">
        <f>$B$9</f>
        <v>2.5</v>
      </c>
      <c r="D26" s="84">
        <v>1.8</v>
      </c>
      <c r="E26" s="77" t="s">
        <v>131</v>
      </c>
      <c r="F26" s="71"/>
      <c r="G26" s="71"/>
      <c r="H26" s="71"/>
      <c r="I26" s="71"/>
    </row>
    <row r="27" spans="1:9" ht="15" customHeight="1" x14ac:dyDescent="0.25">
      <c r="A27" s="80"/>
      <c r="B27" s="86"/>
      <c r="C27" s="86"/>
      <c r="D27" s="86"/>
      <c r="E27" s="80"/>
      <c r="F27" s="71"/>
      <c r="G27" s="71"/>
      <c r="H27" s="71"/>
      <c r="I27" s="71"/>
    </row>
    <row r="28" spans="1:9" ht="15.75" customHeight="1" x14ac:dyDescent="0.25">
      <c r="A28" s="137" t="s">
        <v>132</v>
      </c>
      <c r="B28" s="137"/>
      <c r="C28" s="137"/>
      <c r="D28" s="137"/>
      <c r="E28" s="137"/>
      <c r="F28" s="71"/>
      <c r="G28" s="71"/>
      <c r="H28" s="71"/>
      <c r="I28" s="71"/>
    </row>
    <row r="29" spans="1:9" ht="45" customHeight="1" x14ac:dyDescent="0.25">
      <c r="A29" s="72" t="s">
        <v>133</v>
      </c>
      <c r="B29" s="87" t="s">
        <v>110</v>
      </c>
      <c r="C29" s="88" t="s">
        <v>134</v>
      </c>
      <c r="D29" s="87" t="s">
        <v>112</v>
      </c>
      <c r="E29" s="74" t="s">
        <v>93</v>
      </c>
      <c r="F29" s="71"/>
      <c r="G29" s="71"/>
      <c r="H29" s="71"/>
      <c r="I29" s="71"/>
    </row>
    <row r="30" spans="1:9" ht="15.75" customHeight="1" x14ac:dyDescent="0.25">
      <c r="A30" s="75" t="s">
        <v>135</v>
      </c>
      <c r="B30" s="89" t="s">
        <v>136</v>
      </c>
      <c r="C30" s="89" t="s">
        <v>36</v>
      </c>
      <c r="D30" s="89" t="s">
        <v>137</v>
      </c>
      <c r="E30" s="70" t="s">
        <v>138</v>
      </c>
      <c r="F30" s="71"/>
      <c r="G30" s="71"/>
      <c r="H30" s="71"/>
      <c r="I30" s="71"/>
    </row>
    <row r="31" spans="1:9" ht="15.75" customHeight="1" x14ac:dyDescent="0.25">
      <c r="A31" s="68" t="s">
        <v>139</v>
      </c>
      <c r="B31" s="90">
        <v>142</v>
      </c>
      <c r="C31" s="90">
        <v>180.4</v>
      </c>
      <c r="D31" s="90">
        <v>208.7</v>
      </c>
      <c r="E31" s="70" t="s">
        <v>140</v>
      </c>
      <c r="F31" s="71"/>
      <c r="G31" s="71"/>
      <c r="H31" s="71"/>
      <c r="I31" s="71"/>
    </row>
    <row r="32" spans="1:9" ht="15.75" customHeight="1" x14ac:dyDescent="0.25">
      <c r="A32" s="75" t="s">
        <v>141</v>
      </c>
      <c r="B32" s="91">
        <f t="shared" ref="B32:D33" si="0">B15</f>
        <v>0.15</v>
      </c>
      <c r="C32" s="91">
        <f t="shared" si="0"/>
        <v>0.12</v>
      </c>
      <c r="D32" s="91">
        <f t="shared" si="0"/>
        <v>0.18</v>
      </c>
      <c r="E32" s="70" t="s">
        <v>142</v>
      </c>
      <c r="F32" s="71"/>
      <c r="G32" s="71"/>
      <c r="H32" s="71"/>
      <c r="I32" s="71"/>
    </row>
    <row r="33" spans="1:9" ht="15.75" customHeight="1" x14ac:dyDescent="0.25">
      <c r="A33" s="75" t="s">
        <v>115</v>
      </c>
      <c r="B33" s="92">
        <f t="shared" si="0"/>
        <v>21.3</v>
      </c>
      <c r="C33" s="92">
        <f t="shared" si="0"/>
        <v>21.648</v>
      </c>
      <c r="D33" s="92">
        <f t="shared" si="0"/>
        <v>37.565999999999995</v>
      </c>
      <c r="E33" s="70" t="s">
        <v>142</v>
      </c>
      <c r="F33" s="71"/>
      <c r="G33" s="71"/>
      <c r="H33" s="71"/>
      <c r="I33" s="71"/>
    </row>
    <row r="34" spans="1:9" ht="15.75" customHeight="1" x14ac:dyDescent="0.25">
      <c r="A34" s="75" t="s">
        <v>143</v>
      </c>
      <c r="B34" s="93">
        <f>B31*B23-B17</f>
        <v>72.42</v>
      </c>
      <c r="C34" s="94">
        <f>C31*C23-C17</f>
        <v>140.35120000000001</v>
      </c>
      <c r="D34" s="93">
        <f>D31*D23-D17</f>
        <v>165.29039999999998</v>
      </c>
      <c r="E34" s="70" t="s">
        <v>144</v>
      </c>
      <c r="F34" s="71"/>
      <c r="G34" s="71"/>
      <c r="H34" s="71"/>
      <c r="I34" s="71"/>
    </row>
    <row r="35" spans="1:9" ht="15.75" customHeight="1" x14ac:dyDescent="0.25">
      <c r="A35" s="75" t="s">
        <v>145</v>
      </c>
      <c r="B35" s="93">
        <f>B31*B24-B18</f>
        <v>100.536</v>
      </c>
      <c r="C35" s="94">
        <f>C31*C24-C18</f>
        <v>147.27856</v>
      </c>
      <c r="D35" s="93">
        <f>D31*D24-D18</f>
        <v>187.74651999999998</v>
      </c>
      <c r="E35" s="70" t="s">
        <v>146</v>
      </c>
      <c r="F35" s="71"/>
      <c r="G35" s="71"/>
      <c r="H35" s="71"/>
      <c r="I35" s="71"/>
    </row>
    <row r="36" spans="1:9" ht="15.75" customHeight="1" x14ac:dyDescent="0.25">
      <c r="A36" s="75" t="s">
        <v>147</v>
      </c>
      <c r="B36" s="93">
        <f>B31*B25-B19</f>
        <v>125.244</v>
      </c>
      <c r="C36" s="94">
        <f>C31*C25-C19</f>
        <v>177.80224000000001</v>
      </c>
      <c r="D36" s="93">
        <f>D31*D25-D19</f>
        <v>204.19207999999998</v>
      </c>
      <c r="E36" s="70" t="s">
        <v>148</v>
      </c>
      <c r="F36" s="71"/>
      <c r="G36" s="71"/>
      <c r="H36" s="71"/>
      <c r="I36" s="71"/>
    </row>
    <row r="37" spans="1:9" ht="15.75" customHeight="1" x14ac:dyDescent="0.25">
      <c r="A37" s="95" t="s">
        <v>149</v>
      </c>
      <c r="B37" s="96">
        <f>B34+B35+B36</f>
        <v>298.20000000000005</v>
      </c>
      <c r="C37" s="97">
        <f>C34+C35+C36</f>
        <v>465.43200000000002</v>
      </c>
      <c r="D37" s="96">
        <f>D34+D35+D36</f>
        <v>557.22899999999993</v>
      </c>
      <c r="E37" s="70" t="s">
        <v>150</v>
      </c>
      <c r="F37" s="71"/>
      <c r="G37" s="71"/>
      <c r="H37" s="71"/>
      <c r="I37" s="71"/>
    </row>
    <row r="38" spans="1:9" ht="15.75" customHeight="1" x14ac:dyDescent="0.25">
      <c r="A38" s="75" t="s">
        <v>102</v>
      </c>
      <c r="B38" s="98">
        <f>-B26</f>
        <v>-4</v>
      </c>
      <c r="C38" s="98">
        <f>-C26</f>
        <v>-2.5</v>
      </c>
      <c r="D38" s="98">
        <f>-D26</f>
        <v>-1.8</v>
      </c>
      <c r="E38" s="70" t="s">
        <v>151</v>
      </c>
      <c r="F38" s="71"/>
      <c r="G38" s="71"/>
      <c r="H38" s="71"/>
      <c r="I38" s="71"/>
    </row>
    <row r="39" spans="1:9" ht="15.75" customHeight="1" x14ac:dyDescent="0.25">
      <c r="A39" s="95" t="s">
        <v>152</v>
      </c>
      <c r="B39" s="96">
        <f>B37+B38</f>
        <v>294.20000000000005</v>
      </c>
      <c r="C39" s="97">
        <f>C37+C38</f>
        <v>462.93200000000002</v>
      </c>
      <c r="D39" s="96">
        <f>D37+D38</f>
        <v>555.42899999999997</v>
      </c>
      <c r="E39" s="70" t="s">
        <v>153</v>
      </c>
      <c r="F39" s="71"/>
      <c r="G39" s="71"/>
      <c r="H39" s="71"/>
      <c r="I39" s="71"/>
    </row>
    <row r="40" spans="1:9" ht="15.75" customHeight="1" x14ac:dyDescent="0.25">
      <c r="A40" s="75" t="s">
        <v>154</v>
      </c>
      <c r="B40" s="99">
        <f>IFERROR(B37/B33,0)</f>
        <v>14.000000000000002</v>
      </c>
      <c r="C40" s="100">
        <f>IFERROR(C37/C33,0)</f>
        <v>21.5</v>
      </c>
      <c r="D40" s="99">
        <f>IFERROR(D37/D33,0)</f>
        <v>14.833333333333334</v>
      </c>
      <c r="E40" s="70" t="s">
        <v>155</v>
      </c>
      <c r="F40" s="71"/>
      <c r="G40" s="71"/>
      <c r="H40" s="71"/>
      <c r="I40" s="71"/>
    </row>
    <row r="41" spans="1:9" ht="18" customHeight="1" x14ac:dyDescent="0.25">
      <c r="A41" s="68" t="s">
        <v>156</v>
      </c>
      <c r="B41" s="101">
        <f>IF(B33&lt;=0,"N/A",IF(B34&gt;=B33,ROUNDUP(B33/(B34/12),0),IF(B34+B35&gt;=B33,12+ROUNDUP((B33-B34)/(B35/12),0),24+ROUNDUP((B33-B34-B35)/(B36/12),0))))</f>
        <v>4</v>
      </c>
      <c r="C41" s="102">
        <f>IF(C33&lt;=0,"N/A",IF(C34&gt;=C33,ROUNDUP(C33/(C34/12),0),IF(C34+C35&gt;=C33,12+ROUNDUP((C33-C34)/(C35/12),0),24+ROUNDUP((C33-C34-C35)/(C36/12),0))))</f>
        <v>2</v>
      </c>
      <c r="D41" s="101">
        <f>IF(D33&lt;=0,"N/A",IF(D34&gt;=D33,ROUNDUP(D33/(D34/12),0),IF(D34+D35&gt;=D33,12+ROUNDUP((D33-D34)/(D35/12),0),24+ROUNDUP((D33-D34-D35)/(D36/12),0))))</f>
        <v>3</v>
      </c>
      <c r="E41" s="70" t="s">
        <v>157</v>
      </c>
      <c r="F41" s="71"/>
      <c r="G41" s="71"/>
      <c r="H41" s="71"/>
      <c r="I41" s="71"/>
    </row>
    <row r="42" spans="1:9" ht="15" customHeight="1" x14ac:dyDescent="0.25">
      <c r="A42" s="71"/>
      <c r="B42" s="71"/>
      <c r="C42" s="71"/>
      <c r="D42" s="71"/>
      <c r="E42" s="71"/>
      <c r="F42" s="71"/>
      <c r="G42" s="71"/>
      <c r="H42" s="71"/>
      <c r="I42" s="71"/>
    </row>
    <row r="43" spans="1:9" ht="45" customHeight="1" x14ac:dyDescent="0.25">
      <c r="A43" s="138" t="s">
        <v>158</v>
      </c>
      <c r="B43" s="138"/>
      <c r="C43" s="138"/>
      <c r="D43" s="138"/>
      <c r="E43" s="138"/>
      <c r="F43" s="71"/>
      <c r="G43" s="71"/>
      <c r="H43" s="71"/>
      <c r="I43" s="71"/>
    </row>
    <row r="44" spans="1:9" ht="15" customHeight="1" x14ac:dyDescent="0.25">
      <c r="A44" s="71"/>
      <c r="B44" s="71"/>
      <c r="C44" s="71"/>
      <c r="D44" s="71"/>
      <c r="E44" s="71"/>
      <c r="F44" s="71"/>
      <c r="G44" s="71"/>
      <c r="H44" s="71"/>
      <c r="I44" s="71"/>
    </row>
    <row r="45" spans="1:9" ht="15" customHeight="1" x14ac:dyDescent="0.25">
      <c r="A45" s="71"/>
      <c r="B45" s="71"/>
      <c r="C45" s="71"/>
      <c r="D45" s="71"/>
      <c r="E45" s="71"/>
      <c r="F45" s="71"/>
      <c r="G45" s="71"/>
      <c r="H45" s="71"/>
      <c r="I45" s="71"/>
    </row>
    <row r="46" spans="1:9" ht="15" customHeight="1" x14ac:dyDescent="0.25">
      <c r="A46" s="71"/>
      <c r="B46" s="71"/>
      <c r="C46" s="71"/>
      <c r="D46" s="71"/>
      <c r="E46" s="71"/>
      <c r="F46" s="71"/>
      <c r="G46" s="71"/>
      <c r="H46" s="71"/>
      <c r="I46" s="71"/>
    </row>
    <row r="47" spans="1:9" ht="15" customHeight="1" x14ac:dyDescent="0.25">
      <c r="A47" s="71"/>
      <c r="B47" s="71"/>
      <c r="C47" s="71"/>
      <c r="D47" s="71"/>
      <c r="E47" s="71"/>
      <c r="F47" s="71"/>
      <c r="G47" s="71"/>
      <c r="H47" s="71"/>
      <c r="I47" s="71"/>
    </row>
    <row r="48" spans="1:9" ht="15" customHeight="1" x14ac:dyDescent="0.25">
      <c r="A48" s="71"/>
      <c r="B48" s="71"/>
      <c r="C48" s="71"/>
      <c r="D48" s="71"/>
      <c r="E48" s="71"/>
      <c r="F48" s="71"/>
      <c r="G48" s="71"/>
      <c r="H48" s="71"/>
      <c r="I48" s="71"/>
    </row>
    <row r="49" spans="1:9" ht="15" customHeight="1" x14ac:dyDescent="0.25">
      <c r="A49" s="71"/>
      <c r="B49" s="71"/>
      <c r="C49" s="71"/>
      <c r="D49" s="71"/>
      <c r="E49" s="71"/>
      <c r="F49" s="71"/>
      <c r="G49" s="71"/>
      <c r="H49" s="71"/>
      <c r="I49" s="71"/>
    </row>
    <row r="50" spans="1:9" x14ac:dyDescent="0.25">
      <c r="A50" s="71"/>
      <c r="B50" s="71"/>
      <c r="C50" s="71"/>
      <c r="D50" s="71"/>
      <c r="E50" s="71"/>
      <c r="F50" s="71"/>
      <c r="G50" s="71"/>
    </row>
    <row r="51" spans="1:9" x14ac:dyDescent="0.25">
      <c r="A51" s="71"/>
      <c r="B51" s="71"/>
      <c r="C51" s="71"/>
      <c r="D51" s="71"/>
      <c r="E51" s="71"/>
      <c r="F51" s="71"/>
      <c r="G51" s="71"/>
    </row>
    <row r="52" spans="1:9" x14ac:dyDescent="0.25">
      <c r="A52" s="71"/>
      <c r="B52" s="71"/>
      <c r="C52" s="71"/>
      <c r="D52" s="71"/>
      <c r="E52" s="71"/>
      <c r="F52" s="71"/>
      <c r="G52" s="71"/>
    </row>
    <row r="53" spans="1:9" x14ac:dyDescent="0.25">
      <c r="A53" s="71"/>
      <c r="B53" s="71"/>
      <c r="C53" s="71"/>
      <c r="D53" s="71"/>
      <c r="E53" s="71"/>
      <c r="F53" s="71"/>
      <c r="G53" s="71"/>
    </row>
    <row r="54" spans="1:9" x14ac:dyDescent="0.25">
      <c r="A54" s="71"/>
      <c r="B54" s="71"/>
      <c r="C54" s="71"/>
      <c r="D54" s="71"/>
      <c r="E54" s="71"/>
      <c r="F54" s="71"/>
      <c r="G54" s="71"/>
    </row>
    <row r="55" spans="1:9" x14ac:dyDescent="0.25">
      <c r="A55" s="71"/>
      <c r="B55" s="71"/>
      <c r="C55" s="71"/>
      <c r="D55" s="71"/>
      <c r="E55" s="71"/>
      <c r="F55" s="71"/>
      <c r="G55" s="71"/>
    </row>
    <row r="56" spans="1:9" x14ac:dyDescent="0.25">
      <c r="A56" s="71"/>
      <c r="B56" s="71"/>
      <c r="C56" s="71"/>
      <c r="D56" s="71"/>
      <c r="E56" s="71"/>
      <c r="F56" s="71"/>
      <c r="G56" s="71"/>
    </row>
    <row r="57" spans="1:9" x14ac:dyDescent="0.25">
      <c r="A57" s="71"/>
      <c r="B57" s="71"/>
      <c r="C57" s="71"/>
      <c r="D57" s="71"/>
      <c r="E57" s="71"/>
      <c r="F57" s="71"/>
      <c r="G57" s="71"/>
    </row>
    <row r="58" spans="1:9" x14ac:dyDescent="0.25">
      <c r="A58" s="71"/>
      <c r="B58" s="71"/>
      <c r="C58" s="71"/>
      <c r="D58" s="71"/>
      <c r="E58" s="71"/>
      <c r="F58" s="71"/>
      <c r="G58" s="71"/>
    </row>
    <row r="59" spans="1:9" x14ac:dyDescent="0.25">
      <c r="A59" s="71"/>
      <c r="B59" s="71"/>
      <c r="C59" s="71"/>
      <c r="D59" s="71"/>
      <c r="E59" s="71"/>
      <c r="F59" s="71"/>
      <c r="G59" s="71"/>
    </row>
  </sheetData>
  <mergeCells count="13">
    <mergeCell ref="A21:E21"/>
    <mergeCell ref="A28:E28"/>
    <mergeCell ref="A43:E43"/>
    <mergeCell ref="C8:E8"/>
    <mergeCell ref="C9:E9"/>
    <mergeCell ref="C10:E10"/>
    <mergeCell ref="C11:E11"/>
    <mergeCell ref="A13:E13"/>
    <mergeCell ref="A1:E1"/>
    <mergeCell ref="C4:E4"/>
    <mergeCell ref="C5:E5"/>
    <mergeCell ref="C6:E6"/>
    <mergeCell ref="C7:E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2"/>
  <sheetViews>
    <sheetView showGridLines="0" topLeftCell="A6" zoomScaleNormal="100" workbookViewId="0">
      <selection activeCell="A6" sqref="A6"/>
    </sheetView>
  </sheetViews>
  <sheetFormatPr defaultColWidth="8.7109375" defaultRowHeight="15" x14ac:dyDescent="0.25"/>
  <cols>
    <col min="1" max="1" width="26" customWidth="1"/>
    <col min="2" max="8" width="14" customWidth="1"/>
  </cols>
  <sheetData>
    <row r="1" spans="1:10" ht="27.75" customHeight="1" x14ac:dyDescent="0.25">
      <c r="A1" s="131" t="s">
        <v>159</v>
      </c>
      <c r="B1" s="131"/>
      <c r="C1" s="131"/>
      <c r="D1" s="131"/>
      <c r="E1" s="131"/>
      <c r="F1" s="131"/>
      <c r="G1" s="131"/>
      <c r="H1" s="131"/>
      <c r="I1" s="131"/>
      <c r="J1" s="131"/>
    </row>
    <row r="2" spans="1:10" ht="15" customHeight="1" x14ac:dyDescent="0.25">
      <c r="A2" s="139" t="s">
        <v>160</v>
      </c>
      <c r="B2" s="139"/>
      <c r="C2" s="139"/>
      <c r="D2" s="139"/>
      <c r="E2" s="139"/>
      <c r="F2" s="139"/>
      <c r="G2" s="139"/>
      <c r="H2" s="139"/>
      <c r="I2" s="139"/>
      <c r="J2" s="139"/>
    </row>
    <row r="3" spans="1:10" ht="30" customHeight="1" x14ac:dyDescent="0.25">
      <c r="A3" s="140" t="s">
        <v>161</v>
      </c>
      <c r="B3" s="140"/>
      <c r="C3" s="140"/>
      <c r="D3" s="140"/>
      <c r="E3" s="140"/>
      <c r="F3" s="140"/>
      <c r="G3" s="140"/>
      <c r="H3" s="140"/>
      <c r="I3" s="140"/>
      <c r="J3" s="140"/>
    </row>
    <row r="5" spans="1:10" ht="18" customHeight="1" x14ac:dyDescent="0.25">
      <c r="A5" s="46" t="s">
        <v>162</v>
      </c>
    </row>
    <row r="6" spans="1:10" ht="42" customHeight="1" x14ac:dyDescent="0.25">
      <c r="A6" s="103" t="s">
        <v>163</v>
      </c>
      <c r="B6" s="104">
        <v>0.1</v>
      </c>
      <c r="C6" s="104">
        <v>0.12</v>
      </c>
      <c r="D6" s="104">
        <v>0.14000000000000001</v>
      </c>
      <c r="E6" s="104">
        <v>0.16</v>
      </c>
      <c r="F6" s="104">
        <v>0.18</v>
      </c>
      <c r="G6" s="104">
        <v>0.2</v>
      </c>
      <c r="H6" s="104">
        <v>0.22</v>
      </c>
    </row>
    <row r="7" spans="1:10" ht="18" customHeight="1" x14ac:dyDescent="0.25">
      <c r="A7" s="105">
        <v>0.4</v>
      </c>
      <c r="B7" s="106">
        <f>'Consolidation Scenarios'!$B$11*$A7*B$6-'Consolidation Scenarios'!$B$6</f>
        <v>12.944000000000003</v>
      </c>
      <c r="C7" s="106">
        <f>'Consolidation Scenarios'!$B$11*$A7*C$6-'Consolidation Scenarios'!$B$6</f>
        <v>16.372800000000002</v>
      </c>
      <c r="D7" s="106">
        <f>'Consolidation Scenarios'!$B$11*$A7*D$6-'Consolidation Scenarios'!$B$6</f>
        <v>19.801600000000008</v>
      </c>
      <c r="E7" s="106">
        <f>'Consolidation Scenarios'!$B$11*$A7*E$6-'Consolidation Scenarios'!$B$6</f>
        <v>23.230400000000007</v>
      </c>
      <c r="F7" s="106">
        <f>'Consolidation Scenarios'!$B$11*$A7*F$6-'Consolidation Scenarios'!$B$6</f>
        <v>26.659200000000006</v>
      </c>
      <c r="G7" s="106">
        <f>'Consolidation Scenarios'!$B$11*$A7*G$6-'Consolidation Scenarios'!$B$6</f>
        <v>30.088000000000005</v>
      </c>
      <c r="H7" s="106">
        <f>'Consolidation Scenarios'!$B$11*$A7*H$6-'Consolidation Scenarios'!$B$6</f>
        <v>33.516800000000003</v>
      </c>
    </row>
    <row r="8" spans="1:10" ht="18" customHeight="1" x14ac:dyDescent="0.25">
      <c r="A8" s="105">
        <v>0.45</v>
      </c>
      <c r="B8" s="106">
        <f>'Consolidation Scenarios'!$B$11*$A8*B$6-'Consolidation Scenarios'!$B$6</f>
        <v>15.087000000000003</v>
      </c>
      <c r="C8" s="106">
        <f>'Consolidation Scenarios'!$B$11*$A8*C$6-'Consolidation Scenarios'!$B$6</f>
        <v>18.944400000000002</v>
      </c>
      <c r="D8" s="106">
        <f>'Consolidation Scenarios'!$B$11*$A8*D$6-'Consolidation Scenarios'!$B$6</f>
        <v>22.801800000000004</v>
      </c>
      <c r="E8" s="106">
        <f>'Consolidation Scenarios'!$B$11*$A8*E$6-'Consolidation Scenarios'!$B$6</f>
        <v>26.659200000000002</v>
      </c>
      <c r="F8" s="106">
        <f>'Consolidation Scenarios'!$B$11*$A8*F$6-'Consolidation Scenarios'!$B$6</f>
        <v>30.5166</v>
      </c>
      <c r="G8" s="106">
        <f>'Consolidation Scenarios'!$B$11*$A8*G$6-'Consolidation Scenarios'!$B$6</f>
        <v>34.374000000000002</v>
      </c>
      <c r="H8" s="106">
        <f>'Consolidation Scenarios'!$B$11*$A8*H$6-'Consolidation Scenarios'!$B$6</f>
        <v>38.231400000000001</v>
      </c>
    </row>
    <row r="9" spans="1:10" ht="18" customHeight="1" x14ac:dyDescent="0.25">
      <c r="A9" s="105">
        <v>0.5</v>
      </c>
      <c r="B9" s="106">
        <f>'Consolidation Scenarios'!$B$11*$A9*B$6-'Consolidation Scenarios'!$B$6</f>
        <v>17.230000000000004</v>
      </c>
      <c r="C9" s="106">
        <f>'Consolidation Scenarios'!$B$11*$A9*C$6-'Consolidation Scenarios'!$B$6</f>
        <v>21.516000000000002</v>
      </c>
      <c r="D9" s="106">
        <f>'Consolidation Scenarios'!$B$11*$A9*D$6-'Consolidation Scenarios'!$B$6</f>
        <v>25.802000000000007</v>
      </c>
      <c r="E9" s="106">
        <f>'Consolidation Scenarios'!$B$11*$A9*E$6-'Consolidation Scenarios'!$B$6</f>
        <v>30.088000000000005</v>
      </c>
      <c r="F9" s="106">
        <f>'Consolidation Scenarios'!$B$11*$A9*F$6-'Consolidation Scenarios'!$B$6</f>
        <v>34.373999999999995</v>
      </c>
      <c r="G9" s="106">
        <f>'Consolidation Scenarios'!$B$11*$A9*G$6-'Consolidation Scenarios'!$B$6</f>
        <v>38.660000000000004</v>
      </c>
      <c r="H9" s="106">
        <f>'Consolidation Scenarios'!$B$11*$A9*H$6-'Consolidation Scenarios'!$B$6</f>
        <v>42.945999999999998</v>
      </c>
    </row>
    <row r="10" spans="1:10" ht="18" customHeight="1" x14ac:dyDescent="0.25">
      <c r="A10" s="105">
        <v>0.55000000000000004</v>
      </c>
      <c r="B10" s="106">
        <f>'Consolidation Scenarios'!$B$11*$A10*B$6-'Consolidation Scenarios'!$B$6</f>
        <v>19.373000000000005</v>
      </c>
      <c r="C10" s="106">
        <f>'Consolidation Scenarios'!$B$11*$A10*C$6-'Consolidation Scenarios'!$B$6</f>
        <v>24.087600000000002</v>
      </c>
      <c r="D10" s="106">
        <f>'Consolidation Scenarios'!$B$11*$A10*D$6-'Consolidation Scenarios'!$B$6</f>
        <v>28.80220000000001</v>
      </c>
      <c r="E10" s="106">
        <f>'Consolidation Scenarios'!$B$11*$A10*E$6-'Consolidation Scenarios'!$B$6</f>
        <v>33.516800000000003</v>
      </c>
      <c r="F10" s="106">
        <f>'Consolidation Scenarios'!$B$11*$A10*F$6-'Consolidation Scenarios'!$B$6</f>
        <v>38.231400000000001</v>
      </c>
      <c r="G10" s="106">
        <f>'Consolidation Scenarios'!$B$11*$A10*G$6-'Consolidation Scenarios'!$B$6</f>
        <v>42.946000000000005</v>
      </c>
      <c r="H10" s="106">
        <f>'Consolidation Scenarios'!$B$11*$A10*H$6-'Consolidation Scenarios'!$B$6</f>
        <v>47.660600000000002</v>
      </c>
    </row>
    <row r="11" spans="1:10" ht="18" customHeight="1" x14ac:dyDescent="0.25">
      <c r="A11" s="105">
        <v>0.62</v>
      </c>
      <c r="B11" s="106">
        <f>'Consolidation Scenarios'!$B$11*$A11*B$6-'Consolidation Scenarios'!$B$6</f>
        <v>22.373200000000004</v>
      </c>
      <c r="C11" s="106">
        <f>'Consolidation Scenarios'!$B$11*$A11*C$6-'Consolidation Scenarios'!$B$6</f>
        <v>27.687840000000001</v>
      </c>
      <c r="D11" s="106">
        <f>'Consolidation Scenarios'!$B$11*$A11*D$6-'Consolidation Scenarios'!$B$6</f>
        <v>33.002480000000006</v>
      </c>
      <c r="E11" s="106">
        <f>'Consolidation Scenarios'!$B$11*$A11*E$6-'Consolidation Scenarios'!$B$6</f>
        <v>38.317120000000003</v>
      </c>
      <c r="F11" s="107">
        <f>'Consolidation Scenarios'!$B$11*$A11*F$6-'Consolidation Scenarios'!$B$6</f>
        <v>43.63176</v>
      </c>
      <c r="G11" s="106">
        <f>'Consolidation Scenarios'!$B$11*$A11*G$6-'Consolidation Scenarios'!$B$6</f>
        <v>48.946400000000004</v>
      </c>
      <c r="H11" s="106">
        <f>'Consolidation Scenarios'!$B$11*$A11*H$6-'Consolidation Scenarios'!$B$6</f>
        <v>54.261040000000001</v>
      </c>
    </row>
    <row r="12" spans="1:10" ht="18" customHeight="1" x14ac:dyDescent="0.25">
      <c r="A12" s="105">
        <v>0.7</v>
      </c>
      <c r="B12" s="106">
        <f>'Consolidation Scenarios'!$B$11*$A12*B$6-'Consolidation Scenarios'!$B$6</f>
        <v>25.802</v>
      </c>
      <c r="C12" s="106">
        <f>'Consolidation Scenarios'!$B$11*$A12*C$6-'Consolidation Scenarios'!$B$6</f>
        <v>31.802399999999995</v>
      </c>
      <c r="D12" s="106">
        <f>'Consolidation Scenarios'!$B$11*$A12*D$6-'Consolidation Scenarios'!$B$6</f>
        <v>37.802799999999998</v>
      </c>
      <c r="E12" s="106">
        <f>'Consolidation Scenarios'!$B$11*$A12*E$6-'Consolidation Scenarios'!$B$6</f>
        <v>43.803199999999997</v>
      </c>
      <c r="F12" s="106">
        <f>'Consolidation Scenarios'!$B$11*$A12*F$6-'Consolidation Scenarios'!$B$6</f>
        <v>49.803599999999989</v>
      </c>
      <c r="G12" s="106">
        <f>'Consolidation Scenarios'!$B$11*$A12*G$6-'Consolidation Scenarios'!$B$6</f>
        <v>55.803999999999995</v>
      </c>
      <c r="H12" s="106">
        <f>'Consolidation Scenarios'!$B$11*$A12*H$6-'Consolidation Scenarios'!$B$6</f>
        <v>61.804399999999987</v>
      </c>
    </row>
    <row r="13" spans="1:10" ht="18" customHeight="1" x14ac:dyDescent="0.25">
      <c r="A13" s="105">
        <v>0.75</v>
      </c>
      <c r="B13" s="106">
        <f>'Consolidation Scenarios'!$B$11*$A13*B$6-'Consolidation Scenarios'!$B$6</f>
        <v>27.945000000000004</v>
      </c>
      <c r="C13" s="106">
        <f>'Consolidation Scenarios'!$B$11*$A13*C$6-'Consolidation Scenarios'!$B$6</f>
        <v>34.374000000000002</v>
      </c>
      <c r="D13" s="106">
        <f>'Consolidation Scenarios'!$B$11*$A13*D$6-'Consolidation Scenarios'!$B$6</f>
        <v>40.803000000000004</v>
      </c>
      <c r="E13" s="106">
        <f>'Consolidation Scenarios'!$B$11*$A13*E$6-'Consolidation Scenarios'!$B$6</f>
        <v>47.232000000000006</v>
      </c>
      <c r="F13" s="106">
        <f>'Consolidation Scenarios'!$B$11*$A13*F$6-'Consolidation Scenarios'!$B$6</f>
        <v>53.661000000000001</v>
      </c>
      <c r="G13" s="106">
        <f>'Consolidation Scenarios'!$B$11*$A13*G$6-'Consolidation Scenarios'!$B$6</f>
        <v>60.09</v>
      </c>
      <c r="H13" s="106">
        <f>'Consolidation Scenarios'!$B$11*$A13*H$6-'Consolidation Scenarios'!$B$6</f>
        <v>66.519000000000005</v>
      </c>
    </row>
    <row r="15" spans="1:10" ht="15" customHeight="1" x14ac:dyDescent="0.25">
      <c r="A15" s="55" t="s">
        <v>164</v>
      </c>
    </row>
    <row r="16" spans="1:10" ht="15" customHeight="1" x14ac:dyDescent="0.25">
      <c r="A16" s="108" t="s">
        <v>165</v>
      </c>
    </row>
    <row r="17" spans="1:8" ht="15" customHeight="1" x14ac:dyDescent="0.25">
      <c r="A17" s="109" t="s">
        <v>166</v>
      </c>
    </row>
    <row r="18" spans="1:8" ht="15" customHeight="1" x14ac:dyDescent="0.25">
      <c r="A18" s="110" t="s">
        <v>167</v>
      </c>
    </row>
    <row r="19" spans="1:8" ht="15" customHeight="1" x14ac:dyDescent="0.25">
      <c r="A19" s="111" t="s">
        <v>168</v>
      </c>
    </row>
    <row r="20" spans="1:8" ht="15" customHeight="1" x14ac:dyDescent="0.25">
      <c r="A20" s="112" t="s">
        <v>169</v>
      </c>
    </row>
    <row r="22" spans="1:8" ht="45" customHeight="1" x14ac:dyDescent="0.25">
      <c r="A22" s="141" t="s">
        <v>170</v>
      </c>
      <c r="B22" s="141"/>
      <c r="C22" s="141"/>
      <c r="D22" s="141"/>
      <c r="E22" s="141"/>
      <c r="F22" s="141"/>
      <c r="G22" s="141"/>
      <c r="H22" s="141"/>
    </row>
  </sheetData>
  <mergeCells count="4">
    <mergeCell ref="A1:J1"/>
    <mergeCell ref="A2:J2"/>
    <mergeCell ref="A3:J3"/>
    <mergeCell ref="A22:H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Methodology</vt:lpstr>
      <vt:lpstr>Executive Dashboard</vt:lpstr>
      <vt:lpstr>Variance Analysis - Finance</vt:lpstr>
      <vt:lpstr>Variance Analysis - Risk</vt:lpstr>
      <vt:lpstr>Variance Analysis - Ops</vt:lpstr>
      <vt:lpstr>Consolidation Scenarios</vt:lpstr>
      <vt:lpstr>Sensitivity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 Girvin</cp:lastModifiedBy>
  <cp:revision>0</cp:revision>
  <dcterms:created xsi:type="dcterms:W3CDTF">2026-04-29T22:41:31Z</dcterms:created>
  <dcterms:modified xsi:type="dcterms:W3CDTF">2026-06-24T14:26:33Z</dcterms:modified>
  <dc:language>en-US</dc:language>
</cp:coreProperties>
</file>